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\DS10_Bukupay\Speaker Sound\"/>
    </mc:Choice>
  </mc:AlternateContent>
  <xr:revisionPtr revIDLastSave="0" documentId="13_ncr:1_{529922AA-DBEA-439E-8C9B-5F8CEE34D1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cap to IND" sheetId="2" r:id="rId2"/>
  </sheets>
  <calcPr calcId="191029"/>
  <extLst>
    <ext uri="GoogleSheetsCustomDataVersion2">
      <go:sheetsCustomData xmlns:go="http://customooxmlschemas.google.com/" r:id="rId6" roundtripDataChecksum="HWiY7lylPAz7E6icdy5sj4U/XptShKWnUHCuZs967HM="/>
    </ext>
  </extLst>
</workbook>
</file>

<file path=xl/calcChain.xml><?xml version="1.0" encoding="utf-8"?>
<calcChain xmlns="http://schemas.openxmlformats.org/spreadsheetml/2006/main">
  <c r="E74" i="2" l="1"/>
  <c r="E73" i="2"/>
  <c r="E58" i="2"/>
  <c r="E43" i="2"/>
  <c r="E41" i="2"/>
  <c r="E37" i="2"/>
  <c r="E36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6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ID#AAABenznP1k
Irfanda Jamhari    (2025-02-24 09:08:54)
request ini ya mas @hendy.nugroho@bukuwarung.com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5IuVqZuSYSIOcHoJuRp7yWt4WA=="/>
    </ext>
  </extLst>
</comments>
</file>

<file path=xl/sharedStrings.xml><?xml version="1.0" encoding="utf-8"?>
<sst xmlns="http://schemas.openxmlformats.org/spreadsheetml/2006/main" count="853" uniqueCount="335">
  <si>
    <t>Variable</t>
  </si>
  <si>
    <t>File Name</t>
  </si>
  <si>
    <t>File Format</t>
  </si>
  <si>
    <t>DSpread Default Voice (English)</t>
  </si>
  <si>
    <t>When does it triggered?</t>
  </si>
  <si>
    <t>Notes</t>
  </si>
  <si>
    <t>AUD_ID_FAC_TEST_SIM_NOT_FOUND</t>
  </si>
  <si>
    <t>PleaseInsertSIMCard.mp3</t>
  </si>
  <si>
    <t>mp3</t>
  </si>
  <si>
    <t>Please Insert SIM Card</t>
  </si>
  <si>
    <t>both case when device power on and no wifi</t>
  </si>
  <si>
    <t>AUD_ID_SALE_CANCLE</t>
  </si>
  <si>
    <t>SaleCancle.mp3</t>
  </si>
  <si>
    <t>Use Cancel The Transaction</t>
  </si>
  <si>
    <t>Not used</t>
  </si>
  <si>
    <t>AUD_ID_NUM_0</t>
  </si>
  <si>
    <t>wav/0.wav</t>
  </si>
  <si>
    <t>wav</t>
  </si>
  <si>
    <t>zero</t>
  </si>
  <si>
    <t>when transaction is completed</t>
  </si>
  <si>
    <t>AUD_ID_NUM_1</t>
  </si>
  <si>
    <t>wav/1.wav</t>
  </si>
  <si>
    <t>one</t>
  </si>
  <si>
    <t>AUD_ID_NUM_2</t>
  </si>
  <si>
    <t>wav/2.wav</t>
  </si>
  <si>
    <t>two</t>
  </si>
  <si>
    <t>AUD_ID_NUM_3</t>
  </si>
  <si>
    <t>wav/3.wav</t>
  </si>
  <si>
    <t>three</t>
  </si>
  <si>
    <t>AUD_ID_NUM_4</t>
  </si>
  <si>
    <t>wav/4.wav</t>
  </si>
  <si>
    <t>four</t>
  </si>
  <si>
    <t>AUD_ID_NUM_5</t>
  </si>
  <si>
    <t>wav/5.wav</t>
  </si>
  <si>
    <t>five</t>
  </si>
  <si>
    <t>AUD_ID_NUM_6</t>
  </si>
  <si>
    <t>wav/6.wav</t>
  </si>
  <si>
    <t>six</t>
  </si>
  <si>
    <t>AUD_ID_NUM_7</t>
  </si>
  <si>
    <t>wav/7.wav</t>
  </si>
  <si>
    <t>seven</t>
  </si>
  <si>
    <t>AUD_ID_NUM_8</t>
  </si>
  <si>
    <t>wav/8.wav</t>
  </si>
  <si>
    <t>eight</t>
  </si>
  <si>
    <t>AUD_ID_NUM_9</t>
  </si>
  <si>
    <t>wav/9.wav</t>
  </si>
  <si>
    <t>nine</t>
  </si>
  <si>
    <t>AUD_ID_NUM_10</t>
  </si>
  <si>
    <t>wav/ten.wav</t>
  </si>
  <si>
    <t>ten</t>
  </si>
  <si>
    <t>AUD_ID_NUM_11</t>
  </si>
  <si>
    <t>wav/eleven.wav</t>
  </si>
  <si>
    <t>eleven</t>
  </si>
  <si>
    <t>AUD_ID_NUM_12</t>
  </si>
  <si>
    <t>wav/twelve.wav</t>
  </si>
  <si>
    <t>twelve</t>
  </si>
  <si>
    <t>AUD_ID_NUM_13</t>
  </si>
  <si>
    <t>wav/thirteen.wav</t>
  </si>
  <si>
    <t>thirteen</t>
  </si>
  <si>
    <t>AUD_ID_NUM_14</t>
  </si>
  <si>
    <t>wav/fourteen.wav</t>
  </si>
  <si>
    <t>fourteen</t>
  </si>
  <si>
    <t>AUD_ID_NUM_15</t>
  </si>
  <si>
    <t>wav/fifteen.wav</t>
  </si>
  <si>
    <t>fifteen</t>
  </si>
  <si>
    <t>AUD_ID_NUM_16</t>
  </si>
  <si>
    <t>wav/sixteen.wav</t>
  </si>
  <si>
    <t>sixteen</t>
  </si>
  <si>
    <t>AUD_ID_NUM_17</t>
  </si>
  <si>
    <t>wav/seventeen.wav</t>
  </si>
  <si>
    <t>seventeen</t>
  </si>
  <si>
    <t>AUD_ID_NUM_18</t>
  </si>
  <si>
    <t>wav/eighteen.wav</t>
  </si>
  <si>
    <t>eighteen</t>
  </si>
  <si>
    <t>AUD_ID_NUM_19</t>
  </si>
  <si>
    <t>wav/nineteen.wav</t>
  </si>
  <si>
    <t>nineteen</t>
  </si>
  <si>
    <t>AUD_ID_NUM_20</t>
  </si>
  <si>
    <t>wav/twenty.wav</t>
  </si>
  <si>
    <t>twenty</t>
  </si>
  <si>
    <t>AUD_ID_NUM_30</t>
  </si>
  <si>
    <t>wav/thirty.wav</t>
  </si>
  <si>
    <t>thirty</t>
  </si>
  <si>
    <t>AUD_ID_NUM_40</t>
  </si>
  <si>
    <t>wav/forty.wav</t>
  </si>
  <si>
    <t>forty</t>
  </si>
  <si>
    <t>AUD_ID_NUM_50</t>
  </si>
  <si>
    <t>wav/fifty.wav</t>
  </si>
  <si>
    <t>fifty</t>
  </si>
  <si>
    <t>AUD_ID_NUM_60</t>
  </si>
  <si>
    <t>wav/sixty.wav</t>
  </si>
  <si>
    <t>sixty</t>
  </si>
  <si>
    <t>AUD_ID_NUM_70</t>
  </si>
  <si>
    <t>wav/seventy.wav</t>
  </si>
  <si>
    <t>seventy</t>
  </si>
  <si>
    <t>AUD_ID_NUM_80</t>
  </si>
  <si>
    <t>wav/eighty.wav</t>
  </si>
  <si>
    <t>eighty</t>
  </si>
  <si>
    <t>AUD_ID_NUM_90</t>
  </si>
  <si>
    <t>wav/ninety.wav</t>
  </si>
  <si>
    <t>ninety</t>
  </si>
  <si>
    <t>AUD_ID_HUNDRED</t>
  </si>
  <si>
    <t>wav/hundred.wav</t>
  </si>
  <si>
    <t>hundred</t>
  </si>
  <si>
    <t>AUD_ID_THOUSAND</t>
  </si>
  <si>
    <t>wav/thousand.wav</t>
  </si>
  <si>
    <t>thousand</t>
  </si>
  <si>
    <t>(NEW)</t>
  </si>
  <si>
    <t>TBD</t>
  </si>
  <si>
    <t>million</t>
  </si>
  <si>
    <t>not exist in DSpread yet, they will add</t>
  </si>
  <si>
    <t>AUD_ID_DOT</t>
  </si>
  <si>
    <t>wav/dot.wav</t>
  </si>
  <si>
    <t>decimal</t>
  </si>
  <si>
    <t>when amount with decimal</t>
  </si>
  <si>
    <t>Recording not available</t>
  </si>
  <si>
    <t>AUD_ID_UNIT</t>
  </si>
  <si>
    <t>wav/dollar.wav</t>
  </si>
  <si>
    <t>Dollar</t>
  </si>
  <si>
    <t>AUD_ID_PAYMENT</t>
  </si>
  <si>
    <t>wav/collection.wav</t>
  </si>
  <si>
    <t>Payment vendor, like Alipay or Wechat Pay</t>
  </si>
  <si>
    <t>AUD_ID_KEY_BEEP</t>
  </si>
  <si>
    <t>beep.mp3</t>
  </si>
  <si>
    <t>*a beep sound*</t>
  </si>
  <si>
    <t>when press button</t>
  </si>
  <si>
    <t>AUD_ID_OR</t>
  </si>
  <si>
    <t>or.mp3</t>
  </si>
  <si>
    <t>or</t>
  </si>
  <si>
    <t>when there is options for user instruction</t>
  </si>
  <si>
    <t>AUD_ID_WELCOME</t>
  </si>
  <si>
    <t>welcome.mp3</t>
  </si>
  <si>
    <t>welcome to cloud speaker</t>
  </si>
  <si>
    <t>when turning on the device</t>
  </si>
  <si>
    <t>AUD_ID_PLEASE_WAITING</t>
  </si>
  <si>
    <t>PleaseWait.mp3</t>
  </si>
  <si>
    <t>please waiting</t>
  </si>
  <si>
    <t>when device power on, and connecting to network</t>
  </si>
  <si>
    <t>AUD_ID_SIM_NOT_FOUND</t>
  </si>
  <si>
    <t>SIMNotFound.mp3</t>
  </si>
  <si>
    <t>no sim card detected</t>
  </si>
  <si>
    <t xml:space="preserve">when device power on, No sim card detected </t>
  </si>
  <si>
    <t>AUD_ID_SIM_INSERT_REQ</t>
  </si>
  <si>
    <t>AUD_ID_NET_FAULT</t>
  </si>
  <si>
    <t>NetFault.mp3</t>
  </si>
  <si>
    <t>network failure, please check network</t>
  </si>
  <si>
    <t>network is ok, but fail to access internet</t>
  </si>
  <si>
    <t>AUD_ID_NET_CONNECTING</t>
  </si>
  <si>
    <t>NetConnecting.mp3</t>
  </si>
  <si>
    <t>connecting to network</t>
  </si>
  <si>
    <t>when device trying to connect network</t>
  </si>
  <si>
    <t>AUD_ID_NET_CONNECT_FAIL</t>
  </si>
  <si>
    <t>NetConnectFail.mp3</t>
  </si>
  <si>
    <t>network connected failed, please check the network</t>
  </si>
  <si>
    <t>when device failed to connect network</t>
  </si>
  <si>
    <t>AUD_ID_NET_CONNECT_SUCESS</t>
  </si>
  <si>
    <t>NetConnectSucess.mp3</t>
  </si>
  <si>
    <t>network connection successful</t>
  </si>
  <si>
    <t>when device successfully connect to network</t>
  </si>
  <si>
    <t>AUD_ID_NET_NOT_CONNECT</t>
  </si>
  <si>
    <t>NetDisonnect.mp3</t>
  </si>
  <si>
    <t>network abnormaly</t>
  </si>
  <si>
    <t>when press function button to query device network</t>
  </si>
  <si>
    <t>AUD_ID_NET_CONNECT</t>
  </si>
  <si>
    <t>NetCon.mp3</t>
  </si>
  <si>
    <t>the network is normal</t>
  </si>
  <si>
    <t>AUD_ID_NET_MODE_GPRS</t>
  </si>
  <si>
    <t>NewIsGPRS.mp3</t>
  </si>
  <si>
    <t>now is the mobile network model</t>
  </si>
  <si>
    <t>AUD_ID_NET_MODE_WIFI</t>
  </si>
  <si>
    <t>NewIsWiFi.mp3</t>
  </si>
  <si>
    <t>now is wifi</t>
  </si>
  <si>
    <t>AUD_ID_NET_MODE_WIFI_AIRKISS</t>
  </si>
  <si>
    <t>WiFiAirkiss.mp3</t>
  </si>
  <si>
    <t>now is wifi fast connection distribution network mode</t>
  </si>
  <si>
    <t>when device in wifi pairing network airkiss mode</t>
  </si>
  <si>
    <t>AUD_ID_NET_MODE_WIFI_AP</t>
  </si>
  <si>
    <t>WiFiAP.mp3</t>
  </si>
  <si>
    <t>now is AP distribution mode</t>
  </si>
  <si>
    <t>when device in wifi pairing network AP mode</t>
  </si>
  <si>
    <t>AUD_ID_MQTT_CONNECT_SUCESS</t>
  </si>
  <si>
    <t>MqttConnectSucess.mp3</t>
  </si>
  <si>
    <t>server connection successful</t>
  </si>
  <si>
    <t>when mqtt connec successfully</t>
  </si>
  <si>
    <t>AUD_ID_MQTT_CONNECT_FAIL</t>
  </si>
  <si>
    <t>MqttConnectFail.mp3</t>
  </si>
  <si>
    <t>service connection failed</t>
  </si>
  <si>
    <t>when mqtt connec failed</t>
  </si>
  <si>
    <t>AUD_ID_HOW_GPRS_TO_WIFI</t>
  </si>
  <si>
    <t>GoToWiFi.mp3</t>
  </si>
  <si>
    <t>long press the function key to switch wifi network mode</t>
  </si>
  <si>
    <t>when device is waiting to connect to celluar</t>
  </si>
  <si>
    <t>AUD_ID_HOW_WIFI_TO_GPRS</t>
  </si>
  <si>
    <t>GoToGPRS.mp3</t>
  </si>
  <si>
    <t>long press function key to switch to mobile network</t>
  </si>
  <si>
    <t>when device is waiting to connect to wifi</t>
  </si>
  <si>
    <t>AUD_ID_HOW_WIFI_TO_AP</t>
  </si>
  <si>
    <t>GoToWiFiAP.mp3</t>
  </si>
  <si>
    <t>double click the function key to switch to AP distribution mode</t>
  </si>
  <si>
    <t>when device in wifi mode but not connect to wifi</t>
  </si>
  <si>
    <t>AUD_ID_HOW_WIFI_TO_AIRKISS</t>
  </si>
  <si>
    <t>GoToWiFiAirkiss.mp3</t>
  </si>
  <si>
    <t>double play the function key to switch to wifi fast distribution network mode</t>
  </si>
  <si>
    <t>AUD_ID_EXIT_WIFI_SET</t>
  </si>
  <si>
    <t>ExitWiFiSet.mp3</t>
  </si>
  <si>
    <t>out of distribution network</t>
  </si>
  <si>
    <t>when device successfully connect to AP</t>
  </si>
  <si>
    <t>AUD_ID_PWR_LOWBAT</t>
  </si>
  <si>
    <t>LowBat.mp3</t>
  </si>
  <si>
    <t>low battery, please charge</t>
  </si>
  <si>
    <t>When battery reach xx%(xx is configurable)</t>
  </si>
  <si>
    <t>AUD_ID_PWR_OFF</t>
  </si>
  <si>
    <t>PowerOFF.mp3</t>
  </si>
  <si>
    <t>shutting down</t>
  </si>
  <si>
    <t>When device is turned off</t>
  </si>
  <si>
    <t>AUD_ID_PWR_LOWBATOFF</t>
  </si>
  <si>
    <t>LowBatOFF.mp3</t>
  </si>
  <si>
    <t>low battery, shutting down</t>
  </si>
  <si>
    <t>When battery reach 0%</t>
  </si>
  <si>
    <t>AUD_ID_CHARGE_IN</t>
  </si>
  <si>
    <t>Charging.mp3</t>
  </si>
  <si>
    <t>charging</t>
  </si>
  <si>
    <t>When device is being charged</t>
  </si>
  <si>
    <t>AUD_ID_CHARGE_OUT</t>
  </si>
  <si>
    <t>ChargOur.mp3</t>
  </si>
  <si>
    <t>charging removed</t>
  </si>
  <si>
    <t>When cable is removed when charging</t>
  </si>
  <si>
    <t>AUD_ID_CHARGE_FULL</t>
  </si>
  <si>
    <t>ChargFull.mp3</t>
  </si>
  <si>
    <t>charging Completed</t>
  </si>
  <si>
    <t>When battery reach 100%</t>
  </si>
  <si>
    <t>AUD_ID_UPDATE_START</t>
  </si>
  <si>
    <t>UpdateStart.mp3</t>
  </si>
  <si>
    <t>upgrading</t>
  </si>
  <si>
    <t>When starting firmware update</t>
  </si>
  <si>
    <t>AUD_ID_UPDATE_SUCESS</t>
  </si>
  <si>
    <t>UpdateSucess.mp3</t>
  </si>
  <si>
    <t>upgrade successful</t>
  </si>
  <si>
    <t>When completing firmware update successfully</t>
  </si>
  <si>
    <t>AUD_ID_UPDATE_FAIL</t>
  </si>
  <si>
    <t>UpdateFail.mp3</t>
  </si>
  <si>
    <t>upgrade failed</t>
  </si>
  <si>
    <t>When firmware update failed</t>
  </si>
  <si>
    <t>AUD_ID_ACTIVE_FAIL</t>
  </si>
  <si>
    <t>ActiveFail.mp3</t>
  </si>
  <si>
    <t>activation failed</t>
  </si>
  <si>
    <t>when device sign on failed with mqtt broker</t>
  </si>
  <si>
    <t>AUD_ID_ACTIVE_SUCESS</t>
  </si>
  <si>
    <t>ActiveSucess.mp3</t>
  </si>
  <si>
    <t>activation successful</t>
  </si>
  <si>
    <t>when device sign on successfully with mqtt broker</t>
  </si>
  <si>
    <t>AUD_ID_VOL_MAX</t>
  </si>
  <si>
    <t>VolMax.mp3</t>
  </si>
  <si>
    <t>maximum volume</t>
  </si>
  <si>
    <t>When increasing volume until max volume</t>
  </si>
  <si>
    <t>AUD_ID_VOL_MIN</t>
  </si>
  <si>
    <t>VolMin.mp3</t>
  </si>
  <si>
    <t>minimum volume</t>
  </si>
  <si>
    <t>When decreasing volume until min volume</t>
  </si>
  <si>
    <t>AUD_ID_EXIT_RECODE</t>
  </si>
  <si>
    <t>ExitRecode.mp3</t>
  </si>
  <si>
    <t>AUD_ID_RECODE_NOT_FOUND</t>
  </si>
  <si>
    <t>RecodeNotFound.mp3</t>
  </si>
  <si>
    <t>AUD_ID_RECOVER_FACTORY</t>
  </si>
  <si>
    <t>RecoverFactory.mp3</t>
  </si>
  <si>
    <t>restore factory settings</t>
  </si>
  <si>
    <t>when device in factory mdoe for repair</t>
  </si>
  <si>
    <t>AUD_ID_PARAM_EMPTY</t>
  </si>
  <si>
    <t>PaRamEmpty.mp3</t>
  </si>
  <si>
    <t>please write device parameters</t>
  </si>
  <si>
    <t>when device lost SN</t>
  </si>
  <si>
    <t>AUD_ID_BT_CON</t>
  </si>
  <si>
    <t>BTcon.mp3</t>
  </si>
  <si>
    <t>AUD_ID_BT_DISCON</t>
  </si>
  <si>
    <t>BTdiscon.mp3</t>
  </si>
  <si>
    <t>AUD_ID_BT_OPEN</t>
  </si>
  <si>
    <t>BTopen.mp3</t>
  </si>
  <si>
    <t>AUD_ID_BT_CLOSE</t>
  </si>
  <si>
    <t>BTclose.mp3</t>
  </si>
  <si>
    <t>AUD_ID_BT_OTA</t>
  </si>
  <si>
    <t>BTOTA.mp3</t>
  </si>
  <si>
    <t>N.A.</t>
  </si>
  <si>
    <t>and.wav</t>
  </si>
  <si>
    <t>and</t>
  </si>
  <si>
    <t>Recording available but not on res.c</t>
  </si>
  <si>
    <t>receive.wav</t>
  </si>
  <si>
    <t>received</t>
  </si>
  <si>
    <t>DSpread Default Voice (IND)</t>
  </si>
  <si>
    <t>Rupiah</t>
  </si>
  <si>
    <t>Selamat Datang di BukuPay Speaker</t>
  </si>
  <si>
    <t>Tunggu sebentar, ya</t>
  </si>
  <si>
    <t>Yah, kartu SIM tidak terbaca</t>
  </si>
  <si>
    <t>Jaringan bermasalah. Silakan periksa jaringan</t>
  </si>
  <si>
    <t>Jaringan Gagal Terhubung, Silakan Periksa Jaringan</t>
  </si>
  <si>
    <t>Koneksi Jaringan Berhasil!</t>
  </si>
  <si>
    <t>Jaringan kurang bagus, nih</t>
  </si>
  <si>
    <t>Jaringan Bagus, nih</t>
  </si>
  <si>
    <t>Jaringan Mobile terpasang!</t>
  </si>
  <si>
    <t>Jaringan Wi-Fi terpasang!</t>
  </si>
  <si>
    <t>Mode distribusi jaringan Wi-Fi cepat terpasang!</t>
  </si>
  <si>
    <t>Mode Distribusi AP terpasang!</t>
  </si>
  <si>
    <t>Koneksi Server Berhasil!</t>
  </si>
  <si>
    <t>Yah, koneksi server gagal</t>
  </si>
  <si>
    <t>Tekan lama tombol fungsi untuk beralih ke jaringan Wi-Fi</t>
  </si>
  <si>
    <t>Tekan lama tombol fungsi untuk beralih ke jaringan mobile</t>
  </si>
  <si>
    <t>Klik Dua Kali Tombol Fungsi Untuk Beralih Ke Mode Distribusi AP</t>
  </si>
  <si>
    <t>Klik Dua Kali Tombol Fungsi Untuk Beralih Ke Mode Distribusi Jaringan Wi-Fi Cepat</t>
  </si>
  <si>
    <t>Baterai hampir habis, silakan isi daya</t>
  </si>
  <si>
    <t>Mesin dimatikan</t>
  </si>
  <si>
    <t>Baterai habis</t>
  </si>
  <si>
    <t>Mengisi Daya</t>
  </si>
  <si>
    <t>Berhenti Mengisi Daya</t>
  </si>
  <si>
    <t>Baterai sudah penuh!</t>
  </si>
  <si>
    <t>Mesin diperbarui dulu, ya</t>
  </si>
  <si>
    <t>Pembaruan mesin selesai!</t>
  </si>
  <si>
    <t>Pembaruan mesin gagal</t>
  </si>
  <si>
    <t>aktivasi gagal</t>
  </si>
  <si>
    <t>Aktivasi berhasil!</t>
  </si>
  <si>
    <t>Volume maksimal</t>
  </si>
  <si>
    <t>Volume minimal</t>
  </si>
  <si>
    <t>Kembali ke pengaturan awal</t>
  </si>
  <si>
    <t>Sudah masuk!</t>
  </si>
  <si>
    <t>seratus.mp3</t>
  </si>
  <si>
    <t>one hundred</t>
  </si>
  <si>
    <t>seratus</t>
  </si>
  <si>
    <t>New Audio</t>
  </si>
  <si>
    <t>seribu.mp3</t>
  </si>
  <si>
    <t>one thousand</t>
  </si>
  <si>
    <t>seribu</t>
  </si>
  <si>
    <t>bling.mp3</t>
  </si>
  <si>
    <t>bling effect</t>
  </si>
  <si>
    <t>ka-cing</t>
  </si>
  <si>
    <t>Sound effect before paid amount</t>
  </si>
  <si>
    <t>AUD_ID_MILLION</t>
  </si>
  <si>
    <t>wav/million.wav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</si>
</sst>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9"/>
      <name val="Arial"/>
      <family val="3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4" fillId="2" borderId="1" xfId="0" applyFont="1" applyFill="1" applyBorder="1"/>
    <xf numFmtId="0" fontId="5" fillId="0" borderId="1" xfId="0" applyFont="1" applyBorder="1"/>
    <xf numFmtId="0" fontId="5" fillId="4" borderId="1" xfId="0" applyFont="1" applyFill="1" applyBorder="1"/>
    <xf numFmtId="0" fontId="5" fillId="0" borderId="1" xfId="0" applyFont="1" applyBorder="1" applyAlignment="1">
      <alignment wrapText="1"/>
    </xf>
    <xf numFmtId="0" fontId="5" fillId="5" borderId="1" xfId="0" applyFont="1" applyFill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wrapText="1"/>
    </xf>
    <xf numFmtId="0" fontId="7" fillId="0" borderId="1" xfId="0" applyFont="1" applyBorder="1"/>
    <xf numFmtId="0" fontId="8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1"/>
  <sheetViews>
    <sheetView tabSelected="1" topLeftCell="A10" workbookViewId="0">
      <selection activeCell="F35" sqref="F35"/>
    </sheetView>
  </sheetViews>
  <sheetFormatPr defaultColWidth="12.6328125" defaultRowHeight="15" customHeight="1" x14ac:dyDescent="0.25"/>
  <cols>
    <col min="1" max="1" width="39.7265625" customWidth="1"/>
    <col min="2" max="2" width="20.453125" customWidth="1"/>
    <col min="3" max="3" width="12.6328125" customWidth="1"/>
    <col min="4" max="4" width="55.90625" customWidth="1"/>
    <col min="5" max="5" width="43.453125" customWidth="1"/>
    <col min="6" max="6" width="19.453125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/>
    </row>
    <row r="3" spans="1:6" ht="15.75" customHeight="1" x14ac:dyDescent="0.25">
      <c r="A3" s="4" t="s">
        <v>11</v>
      </c>
      <c r="B3" s="4" t="s">
        <v>12</v>
      </c>
      <c r="C3" s="4" t="s">
        <v>8</v>
      </c>
      <c r="D3" s="4" t="s">
        <v>13</v>
      </c>
      <c r="E3" s="4" t="s">
        <v>14</v>
      </c>
      <c r="F3" s="3"/>
    </row>
    <row r="4" spans="1:6" ht="15.75" customHeigh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/>
    </row>
    <row r="5" spans="1:6" ht="15.75" customHeight="1" x14ac:dyDescent="0.25">
      <c r="A5" s="2" t="s">
        <v>20</v>
      </c>
      <c r="B5" s="2" t="s">
        <v>21</v>
      </c>
      <c r="C5" s="2" t="s">
        <v>17</v>
      </c>
      <c r="D5" s="2" t="s">
        <v>22</v>
      </c>
      <c r="E5" s="2" t="s">
        <v>19</v>
      </c>
      <c r="F5" s="3"/>
    </row>
    <row r="6" spans="1:6" ht="15.75" customHeight="1" x14ac:dyDescent="0.25">
      <c r="A6" s="2" t="s">
        <v>23</v>
      </c>
      <c r="B6" s="2" t="s">
        <v>24</v>
      </c>
      <c r="C6" s="2" t="s">
        <v>17</v>
      </c>
      <c r="D6" s="2" t="s">
        <v>25</v>
      </c>
      <c r="E6" s="2" t="s">
        <v>19</v>
      </c>
      <c r="F6" s="3"/>
    </row>
    <row r="7" spans="1:6" ht="15.75" customHeight="1" x14ac:dyDescent="0.25">
      <c r="A7" s="2" t="s">
        <v>26</v>
      </c>
      <c r="B7" s="2" t="s">
        <v>27</v>
      </c>
      <c r="C7" s="2" t="s">
        <v>17</v>
      </c>
      <c r="D7" s="2" t="s">
        <v>28</v>
      </c>
      <c r="E7" s="2" t="s">
        <v>19</v>
      </c>
      <c r="F7" s="3"/>
    </row>
    <row r="8" spans="1:6" ht="15.75" customHeight="1" x14ac:dyDescent="0.25">
      <c r="A8" s="2" t="s">
        <v>29</v>
      </c>
      <c r="B8" s="2" t="s">
        <v>30</v>
      </c>
      <c r="C8" s="2" t="s">
        <v>17</v>
      </c>
      <c r="D8" s="2" t="s">
        <v>31</v>
      </c>
      <c r="E8" s="2" t="s">
        <v>19</v>
      </c>
      <c r="F8" s="3"/>
    </row>
    <row r="9" spans="1:6" ht="15.75" customHeight="1" x14ac:dyDescent="0.25">
      <c r="A9" s="2" t="s">
        <v>32</v>
      </c>
      <c r="B9" s="2" t="s">
        <v>33</v>
      </c>
      <c r="C9" s="2" t="s">
        <v>17</v>
      </c>
      <c r="D9" s="2" t="s">
        <v>34</v>
      </c>
      <c r="E9" s="2" t="s">
        <v>19</v>
      </c>
      <c r="F9" s="3"/>
    </row>
    <row r="10" spans="1:6" ht="15.75" customHeight="1" x14ac:dyDescent="0.25">
      <c r="A10" s="2" t="s">
        <v>35</v>
      </c>
      <c r="B10" s="2" t="s">
        <v>36</v>
      </c>
      <c r="C10" s="2" t="s">
        <v>17</v>
      </c>
      <c r="D10" s="2" t="s">
        <v>37</v>
      </c>
      <c r="E10" s="2" t="s">
        <v>19</v>
      </c>
      <c r="F10" s="3"/>
    </row>
    <row r="11" spans="1:6" ht="15.75" customHeight="1" x14ac:dyDescent="0.25">
      <c r="A11" s="2" t="s">
        <v>38</v>
      </c>
      <c r="B11" s="2" t="s">
        <v>39</v>
      </c>
      <c r="C11" s="2" t="s">
        <v>17</v>
      </c>
      <c r="D11" s="2" t="s">
        <v>40</v>
      </c>
      <c r="E11" s="2" t="s">
        <v>19</v>
      </c>
      <c r="F11" s="3"/>
    </row>
    <row r="12" spans="1:6" ht="15.75" customHeight="1" x14ac:dyDescent="0.25">
      <c r="A12" s="2" t="s">
        <v>41</v>
      </c>
      <c r="B12" s="2" t="s">
        <v>42</v>
      </c>
      <c r="C12" s="2" t="s">
        <v>17</v>
      </c>
      <c r="D12" s="2" t="s">
        <v>43</v>
      </c>
      <c r="E12" s="2" t="s">
        <v>19</v>
      </c>
      <c r="F12" s="3"/>
    </row>
    <row r="13" spans="1:6" ht="15.75" customHeight="1" x14ac:dyDescent="0.25">
      <c r="A13" s="2" t="s">
        <v>44</v>
      </c>
      <c r="B13" s="2" t="s">
        <v>45</v>
      </c>
      <c r="C13" s="2" t="s">
        <v>17</v>
      </c>
      <c r="D13" s="2" t="s">
        <v>46</v>
      </c>
      <c r="E13" s="2" t="s">
        <v>19</v>
      </c>
      <c r="F13" s="3"/>
    </row>
    <row r="14" spans="1:6" ht="15.75" customHeight="1" x14ac:dyDescent="0.25">
      <c r="A14" s="2" t="s">
        <v>47</v>
      </c>
      <c r="B14" s="2" t="s">
        <v>48</v>
      </c>
      <c r="C14" s="2" t="s">
        <v>17</v>
      </c>
      <c r="D14" s="2" t="s">
        <v>49</v>
      </c>
      <c r="E14" s="2" t="s">
        <v>19</v>
      </c>
      <c r="F14" s="3"/>
    </row>
    <row r="15" spans="1:6" ht="15.75" customHeight="1" x14ac:dyDescent="0.25">
      <c r="A15" s="2" t="s">
        <v>50</v>
      </c>
      <c r="B15" s="2" t="s">
        <v>51</v>
      </c>
      <c r="C15" s="2" t="s">
        <v>17</v>
      </c>
      <c r="D15" s="2" t="s">
        <v>52</v>
      </c>
      <c r="E15" s="2" t="s">
        <v>19</v>
      </c>
      <c r="F15" s="3"/>
    </row>
    <row r="16" spans="1:6" ht="15.75" customHeight="1" x14ac:dyDescent="0.25">
      <c r="A16" s="2" t="s">
        <v>53</v>
      </c>
      <c r="B16" s="2" t="s">
        <v>54</v>
      </c>
      <c r="C16" s="2" t="s">
        <v>17</v>
      </c>
      <c r="D16" s="2" t="s">
        <v>55</v>
      </c>
      <c r="E16" s="2" t="s">
        <v>19</v>
      </c>
      <c r="F16" s="3"/>
    </row>
    <row r="17" spans="1:6" ht="15.75" customHeight="1" x14ac:dyDescent="0.25">
      <c r="A17" s="2" t="s">
        <v>56</v>
      </c>
      <c r="B17" s="2" t="s">
        <v>57</v>
      </c>
      <c r="C17" s="2" t="s">
        <v>17</v>
      </c>
      <c r="D17" s="2" t="s">
        <v>58</v>
      </c>
      <c r="E17" s="2" t="s">
        <v>19</v>
      </c>
      <c r="F17" s="3"/>
    </row>
    <row r="18" spans="1:6" ht="15.75" customHeight="1" x14ac:dyDescent="0.25">
      <c r="A18" s="2" t="s">
        <v>59</v>
      </c>
      <c r="B18" s="2" t="s">
        <v>60</v>
      </c>
      <c r="C18" s="2" t="s">
        <v>17</v>
      </c>
      <c r="D18" s="2" t="s">
        <v>61</v>
      </c>
      <c r="E18" s="2" t="s">
        <v>19</v>
      </c>
      <c r="F18" s="3"/>
    </row>
    <row r="19" spans="1:6" ht="15.75" customHeight="1" x14ac:dyDescent="0.25">
      <c r="A19" s="2" t="s">
        <v>62</v>
      </c>
      <c r="B19" s="2" t="s">
        <v>63</v>
      </c>
      <c r="C19" s="2" t="s">
        <v>17</v>
      </c>
      <c r="D19" s="2" t="s">
        <v>64</v>
      </c>
      <c r="E19" s="2" t="s">
        <v>19</v>
      </c>
      <c r="F19" s="3"/>
    </row>
    <row r="20" spans="1:6" ht="15.75" customHeight="1" x14ac:dyDescent="0.25">
      <c r="A20" s="2" t="s">
        <v>65</v>
      </c>
      <c r="B20" s="2" t="s">
        <v>66</v>
      </c>
      <c r="C20" s="2" t="s">
        <v>17</v>
      </c>
      <c r="D20" s="2" t="s">
        <v>67</v>
      </c>
      <c r="E20" s="2" t="s">
        <v>19</v>
      </c>
      <c r="F20" s="3"/>
    </row>
    <row r="21" spans="1:6" ht="15.75" customHeight="1" x14ac:dyDescent="0.25">
      <c r="A21" s="2" t="s">
        <v>68</v>
      </c>
      <c r="B21" s="2" t="s">
        <v>69</v>
      </c>
      <c r="C21" s="2" t="s">
        <v>17</v>
      </c>
      <c r="D21" s="2" t="s">
        <v>70</v>
      </c>
      <c r="E21" s="2" t="s">
        <v>19</v>
      </c>
      <c r="F21" s="3"/>
    </row>
    <row r="22" spans="1:6" ht="15.75" customHeight="1" x14ac:dyDescent="0.25">
      <c r="A22" s="2" t="s">
        <v>71</v>
      </c>
      <c r="B22" s="2" t="s">
        <v>72</v>
      </c>
      <c r="C22" s="2" t="s">
        <v>17</v>
      </c>
      <c r="D22" s="2" t="s">
        <v>73</v>
      </c>
      <c r="E22" s="2" t="s">
        <v>19</v>
      </c>
      <c r="F22" s="3"/>
    </row>
    <row r="23" spans="1:6" ht="15.75" customHeight="1" x14ac:dyDescent="0.25">
      <c r="A23" s="2" t="s">
        <v>74</v>
      </c>
      <c r="B23" s="2" t="s">
        <v>75</v>
      </c>
      <c r="C23" s="2" t="s">
        <v>17</v>
      </c>
      <c r="D23" s="2" t="s">
        <v>76</v>
      </c>
      <c r="E23" s="2" t="s">
        <v>19</v>
      </c>
      <c r="F23" s="3"/>
    </row>
    <row r="24" spans="1:6" ht="15.75" customHeight="1" x14ac:dyDescent="0.25">
      <c r="A24" s="2" t="s">
        <v>77</v>
      </c>
      <c r="B24" s="2" t="s">
        <v>78</v>
      </c>
      <c r="C24" s="2" t="s">
        <v>17</v>
      </c>
      <c r="D24" s="2" t="s">
        <v>79</v>
      </c>
      <c r="E24" s="2" t="s">
        <v>19</v>
      </c>
      <c r="F24" s="3"/>
    </row>
    <row r="25" spans="1:6" ht="15.75" customHeight="1" x14ac:dyDescent="0.25">
      <c r="A25" s="2" t="s">
        <v>80</v>
      </c>
      <c r="B25" s="2" t="s">
        <v>81</v>
      </c>
      <c r="C25" s="2" t="s">
        <v>17</v>
      </c>
      <c r="D25" s="2" t="s">
        <v>82</v>
      </c>
      <c r="E25" s="2" t="s">
        <v>19</v>
      </c>
      <c r="F25" s="3"/>
    </row>
    <row r="26" spans="1:6" ht="15.75" customHeight="1" x14ac:dyDescent="0.25">
      <c r="A26" s="2" t="s">
        <v>83</v>
      </c>
      <c r="B26" s="2" t="s">
        <v>84</v>
      </c>
      <c r="C26" s="2" t="s">
        <v>17</v>
      </c>
      <c r="D26" s="2" t="s">
        <v>85</v>
      </c>
      <c r="E26" s="2" t="s">
        <v>19</v>
      </c>
      <c r="F26" s="3"/>
    </row>
    <row r="27" spans="1:6" ht="15.75" customHeight="1" x14ac:dyDescent="0.25">
      <c r="A27" s="2" t="s">
        <v>86</v>
      </c>
      <c r="B27" s="2" t="s">
        <v>87</v>
      </c>
      <c r="C27" s="2" t="s">
        <v>17</v>
      </c>
      <c r="D27" s="2" t="s">
        <v>88</v>
      </c>
      <c r="E27" s="2" t="s">
        <v>19</v>
      </c>
      <c r="F27" s="3"/>
    </row>
    <row r="28" spans="1:6" ht="15.75" customHeight="1" x14ac:dyDescent="0.25">
      <c r="A28" s="2" t="s">
        <v>89</v>
      </c>
      <c r="B28" s="2" t="s">
        <v>90</v>
      </c>
      <c r="C28" s="2" t="s">
        <v>17</v>
      </c>
      <c r="D28" s="2" t="s">
        <v>91</v>
      </c>
      <c r="E28" s="2" t="s">
        <v>19</v>
      </c>
      <c r="F28" s="3"/>
    </row>
    <row r="29" spans="1:6" ht="15.75" customHeight="1" x14ac:dyDescent="0.25">
      <c r="A29" s="2" t="s">
        <v>92</v>
      </c>
      <c r="B29" s="2" t="s">
        <v>93</v>
      </c>
      <c r="C29" s="2" t="s">
        <v>17</v>
      </c>
      <c r="D29" s="2" t="s">
        <v>94</v>
      </c>
      <c r="E29" s="2" t="s">
        <v>19</v>
      </c>
      <c r="F29" s="3"/>
    </row>
    <row r="30" spans="1:6" ht="15.75" customHeight="1" x14ac:dyDescent="0.25">
      <c r="A30" s="2" t="s">
        <v>95</v>
      </c>
      <c r="B30" s="2" t="s">
        <v>96</v>
      </c>
      <c r="C30" s="2" t="s">
        <v>17</v>
      </c>
      <c r="D30" s="2" t="s">
        <v>97</v>
      </c>
      <c r="E30" s="2" t="s">
        <v>19</v>
      </c>
      <c r="F30" s="3"/>
    </row>
    <row r="31" spans="1:6" ht="15.75" customHeight="1" x14ac:dyDescent="0.25">
      <c r="A31" s="2" t="s">
        <v>98</v>
      </c>
      <c r="B31" s="2" t="s">
        <v>99</v>
      </c>
      <c r="C31" s="2" t="s">
        <v>17</v>
      </c>
      <c r="D31" s="2" t="s">
        <v>100</v>
      </c>
      <c r="E31" s="2" t="s">
        <v>19</v>
      </c>
      <c r="F31" s="3"/>
    </row>
    <row r="32" spans="1:6" ht="15.75" customHeight="1" x14ac:dyDescent="0.25">
      <c r="A32" s="2" t="s">
        <v>101</v>
      </c>
      <c r="B32" s="2" t="s">
        <v>102</v>
      </c>
      <c r="C32" s="2" t="s">
        <v>17</v>
      </c>
      <c r="D32" s="2" t="s">
        <v>103</v>
      </c>
      <c r="E32" s="2" t="s">
        <v>19</v>
      </c>
      <c r="F32" s="3"/>
    </row>
    <row r="33" spans="1:6" ht="15.75" customHeight="1" x14ac:dyDescent="0.25">
      <c r="A33" s="2" t="s">
        <v>104</v>
      </c>
      <c r="B33" s="2" t="s">
        <v>105</v>
      </c>
      <c r="C33" s="2" t="s">
        <v>17</v>
      </c>
      <c r="D33" s="2" t="s">
        <v>106</v>
      </c>
      <c r="E33" s="2" t="s">
        <v>19</v>
      </c>
      <c r="F33" s="3"/>
    </row>
    <row r="34" spans="1:6" ht="15.75" customHeight="1" x14ac:dyDescent="0.25">
      <c r="A34" s="2" t="s">
        <v>333</v>
      </c>
      <c r="B34" s="12" t="s">
        <v>334</v>
      </c>
      <c r="C34" s="2" t="s">
        <v>17</v>
      </c>
      <c r="D34" s="2" t="s">
        <v>109</v>
      </c>
      <c r="E34" s="2" t="s">
        <v>19</v>
      </c>
      <c r="F34" s="3"/>
    </row>
    <row r="35" spans="1:6" ht="15.75" customHeight="1" x14ac:dyDescent="0.25">
      <c r="A35" s="2" t="s">
        <v>111</v>
      </c>
      <c r="B35" s="2" t="s">
        <v>112</v>
      </c>
      <c r="C35" s="2" t="s">
        <v>17</v>
      </c>
      <c r="D35" s="2" t="s">
        <v>113</v>
      </c>
      <c r="E35" s="2" t="s">
        <v>114</v>
      </c>
      <c r="F35" s="3"/>
    </row>
    <row r="36" spans="1:6" ht="15.75" customHeight="1" x14ac:dyDescent="0.25">
      <c r="A36" s="2" t="s">
        <v>116</v>
      </c>
      <c r="B36" s="2" t="s">
        <v>117</v>
      </c>
      <c r="C36" s="2" t="s">
        <v>17</v>
      </c>
      <c r="D36" s="2" t="s">
        <v>118</v>
      </c>
      <c r="E36" s="2" t="s">
        <v>19</v>
      </c>
      <c r="F36" s="3"/>
    </row>
    <row r="37" spans="1:6" ht="15.75" customHeight="1" x14ac:dyDescent="0.25">
      <c r="A37" s="13" t="s">
        <v>119</v>
      </c>
      <c r="B37" s="13" t="s">
        <v>120</v>
      </c>
      <c r="C37" s="13" t="s">
        <v>17</v>
      </c>
      <c r="D37" s="13" t="s">
        <v>121</v>
      </c>
      <c r="E37" s="2" t="s">
        <v>19</v>
      </c>
      <c r="F37" s="3"/>
    </row>
    <row r="38" spans="1:6" ht="15.75" customHeight="1" x14ac:dyDescent="0.25">
      <c r="A38" s="2" t="s">
        <v>122</v>
      </c>
      <c r="B38" s="2" t="s">
        <v>123</v>
      </c>
      <c r="C38" s="2" t="s">
        <v>8</v>
      </c>
      <c r="D38" s="2" t="s">
        <v>124</v>
      </c>
      <c r="E38" s="2" t="s">
        <v>125</v>
      </c>
      <c r="F38" s="3"/>
    </row>
    <row r="39" spans="1:6" ht="15.75" customHeight="1" x14ac:dyDescent="0.25">
      <c r="A39" s="2" t="s">
        <v>126</v>
      </c>
      <c r="B39" s="2" t="s">
        <v>127</v>
      </c>
      <c r="C39" s="2" t="s">
        <v>8</v>
      </c>
      <c r="D39" s="2" t="s">
        <v>128</v>
      </c>
      <c r="E39" s="2" t="s">
        <v>129</v>
      </c>
      <c r="F39" s="3"/>
    </row>
    <row r="40" spans="1:6" ht="15.75" customHeight="1" x14ac:dyDescent="0.25">
      <c r="A40" s="2" t="s">
        <v>130</v>
      </c>
      <c r="B40" s="2" t="s">
        <v>131</v>
      </c>
      <c r="C40" s="2" t="s">
        <v>8</v>
      </c>
      <c r="D40" s="2" t="s">
        <v>132</v>
      </c>
      <c r="E40" s="2" t="s">
        <v>133</v>
      </c>
      <c r="F40" s="3"/>
    </row>
    <row r="41" spans="1:6" ht="15.75" customHeight="1" x14ac:dyDescent="0.25">
      <c r="A41" s="2" t="s">
        <v>134</v>
      </c>
      <c r="B41" s="2" t="s">
        <v>135</v>
      </c>
      <c r="C41" s="2" t="s">
        <v>8</v>
      </c>
      <c r="D41" s="2" t="s">
        <v>136</v>
      </c>
      <c r="E41" s="2" t="s">
        <v>137</v>
      </c>
      <c r="F41" s="3"/>
    </row>
    <row r="42" spans="1:6" ht="15.75" customHeight="1" x14ac:dyDescent="0.25">
      <c r="A42" s="2" t="s">
        <v>138</v>
      </c>
      <c r="B42" s="2" t="s">
        <v>139</v>
      </c>
      <c r="C42" s="2" t="s">
        <v>8</v>
      </c>
      <c r="D42" s="2" t="s">
        <v>140</v>
      </c>
      <c r="E42" s="2" t="s">
        <v>141</v>
      </c>
      <c r="F42" s="3"/>
    </row>
    <row r="43" spans="1:6" ht="15.75" customHeight="1" x14ac:dyDescent="0.25">
      <c r="A43" s="2" t="s">
        <v>142</v>
      </c>
      <c r="B43" s="2" t="s">
        <v>7</v>
      </c>
      <c r="C43" s="2" t="s">
        <v>8</v>
      </c>
      <c r="D43" s="2" t="s">
        <v>9</v>
      </c>
      <c r="E43" s="2" t="s">
        <v>141</v>
      </c>
      <c r="F43" s="3"/>
    </row>
    <row r="44" spans="1:6" ht="15.75" customHeight="1" x14ac:dyDescent="0.25">
      <c r="A44" s="2" t="s">
        <v>143</v>
      </c>
      <c r="B44" s="2" t="s">
        <v>144</v>
      </c>
      <c r="C44" s="2" t="s">
        <v>8</v>
      </c>
      <c r="D44" s="2" t="s">
        <v>145</v>
      </c>
      <c r="E44" s="2" t="s">
        <v>146</v>
      </c>
      <c r="F44" s="3"/>
    </row>
    <row r="45" spans="1:6" ht="15.75" customHeight="1" x14ac:dyDescent="0.25">
      <c r="A45" s="2" t="s">
        <v>147</v>
      </c>
      <c r="B45" s="2" t="s">
        <v>148</v>
      </c>
      <c r="C45" s="2" t="s">
        <v>8</v>
      </c>
      <c r="D45" s="2" t="s">
        <v>149</v>
      </c>
      <c r="E45" s="2" t="s">
        <v>150</v>
      </c>
      <c r="F45" s="3"/>
    </row>
    <row r="46" spans="1:6" ht="15.75" customHeight="1" x14ac:dyDescent="0.25">
      <c r="A46" s="2" t="s">
        <v>151</v>
      </c>
      <c r="B46" s="2" t="s">
        <v>152</v>
      </c>
      <c r="C46" s="2" t="s">
        <v>8</v>
      </c>
      <c r="D46" s="2" t="s">
        <v>153</v>
      </c>
      <c r="E46" s="2" t="s">
        <v>154</v>
      </c>
      <c r="F46" s="3"/>
    </row>
    <row r="47" spans="1:6" ht="15.75" customHeight="1" x14ac:dyDescent="0.25">
      <c r="A47" s="2" t="s">
        <v>155</v>
      </c>
      <c r="B47" s="2" t="s">
        <v>156</v>
      </c>
      <c r="C47" s="2" t="s">
        <v>8</v>
      </c>
      <c r="D47" s="2" t="s">
        <v>157</v>
      </c>
      <c r="E47" s="2" t="s">
        <v>158</v>
      </c>
      <c r="F47" s="3"/>
    </row>
    <row r="48" spans="1:6" ht="15.75" customHeight="1" x14ac:dyDescent="0.25">
      <c r="A48" s="2" t="s">
        <v>159</v>
      </c>
      <c r="B48" s="2" t="s">
        <v>160</v>
      </c>
      <c r="C48" s="2" t="s">
        <v>8</v>
      </c>
      <c r="D48" s="2" t="s">
        <v>161</v>
      </c>
      <c r="E48" s="2" t="s">
        <v>162</v>
      </c>
      <c r="F48" s="3"/>
    </row>
    <row r="49" spans="1:6" ht="15.75" customHeight="1" x14ac:dyDescent="0.25">
      <c r="A49" s="2" t="s">
        <v>163</v>
      </c>
      <c r="B49" s="2" t="s">
        <v>164</v>
      </c>
      <c r="C49" s="2" t="s">
        <v>8</v>
      </c>
      <c r="D49" s="2" t="s">
        <v>165</v>
      </c>
      <c r="E49" s="2" t="s">
        <v>162</v>
      </c>
      <c r="F49" s="3"/>
    </row>
    <row r="50" spans="1:6" ht="15.75" customHeight="1" x14ac:dyDescent="0.25">
      <c r="A50" s="2" t="s">
        <v>166</v>
      </c>
      <c r="B50" s="2" t="s">
        <v>167</v>
      </c>
      <c r="C50" s="2" t="s">
        <v>8</v>
      </c>
      <c r="D50" s="2" t="s">
        <v>168</v>
      </c>
      <c r="E50" s="2" t="s">
        <v>162</v>
      </c>
      <c r="F50" s="3"/>
    </row>
    <row r="51" spans="1:6" ht="15.75" customHeight="1" x14ac:dyDescent="0.25">
      <c r="A51" s="2" t="s">
        <v>169</v>
      </c>
      <c r="B51" s="2" t="s">
        <v>170</v>
      </c>
      <c r="C51" s="2" t="s">
        <v>8</v>
      </c>
      <c r="D51" s="2" t="s">
        <v>171</v>
      </c>
      <c r="E51" s="2" t="s">
        <v>162</v>
      </c>
      <c r="F51" s="3"/>
    </row>
    <row r="52" spans="1:6" ht="15.75" customHeight="1" x14ac:dyDescent="0.25">
      <c r="A52" s="2" t="s">
        <v>172</v>
      </c>
      <c r="B52" s="2" t="s">
        <v>173</v>
      </c>
      <c r="C52" s="2" t="s">
        <v>8</v>
      </c>
      <c r="D52" s="2" t="s">
        <v>174</v>
      </c>
      <c r="E52" s="2" t="s">
        <v>175</v>
      </c>
      <c r="F52" s="3"/>
    </row>
    <row r="53" spans="1:6" ht="15.75" customHeight="1" x14ac:dyDescent="0.25">
      <c r="A53" s="2" t="s">
        <v>176</v>
      </c>
      <c r="B53" s="2" t="s">
        <v>177</v>
      </c>
      <c r="C53" s="2" t="s">
        <v>8</v>
      </c>
      <c r="D53" s="2" t="s">
        <v>178</v>
      </c>
      <c r="E53" s="2" t="s">
        <v>179</v>
      </c>
      <c r="F53" s="3"/>
    </row>
    <row r="54" spans="1:6" ht="15.75" customHeight="1" x14ac:dyDescent="0.25">
      <c r="A54" s="2" t="s">
        <v>180</v>
      </c>
      <c r="B54" s="2" t="s">
        <v>181</v>
      </c>
      <c r="C54" s="2" t="s">
        <v>8</v>
      </c>
      <c r="D54" s="2" t="s">
        <v>182</v>
      </c>
      <c r="E54" s="2" t="s">
        <v>183</v>
      </c>
      <c r="F54" s="3"/>
    </row>
    <row r="55" spans="1:6" ht="15.75" customHeight="1" x14ac:dyDescent="0.25">
      <c r="A55" s="2" t="s">
        <v>184</v>
      </c>
      <c r="B55" s="2" t="s">
        <v>185</v>
      </c>
      <c r="C55" s="2" t="s">
        <v>8</v>
      </c>
      <c r="D55" s="2" t="s">
        <v>186</v>
      </c>
      <c r="E55" s="2" t="s">
        <v>187</v>
      </c>
      <c r="F55" s="3"/>
    </row>
    <row r="56" spans="1:6" ht="15.75" customHeight="1" x14ac:dyDescent="0.25">
      <c r="A56" s="2" t="s">
        <v>188</v>
      </c>
      <c r="B56" s="2" t="s">
        <v>189</v>
      </c>
      <c r="C56" s="2" t="s">
        <v>8</v>
      </c>
      <c r="D56" s="2" t="s">
        <v>190</v>
      </c>
      <c r="E56" s="2" t="s">
        <v>191</v>
      </c>
      <c r="F56" s="3"/>
    </row>
    <row r="57" spans="1:6" ht="15.75" customHeight="1" x14ac:dyDescent="0.25">
      <c r="A57" s="2" t="s">
        <v>192</v>
      </c>
      <c r="B57" s="2" t="s">
        <v>193</v>
      </c>
      <c r="C57" s="2" t="s">
        <v>8</v>
      </c>
      <c r="D57" s="2" t="s">
        <v>194</v>
      </c>
      <c r="E57" s="2" t="s">
        <v>195</v>
      </c>
      <c r="F57" s="3"/>
    </row>
    <row r="58" spans="1:6" ht="15.75" customHeight="1" x14ac:dyDescent="0.25">
      <c r="A58" s="2" t="s">
        <v>196</v>
      </c>
      <c r="B58" s="2" t="s">
        <v>197</v>
      </c>
      <c r="C58" s="2" t="s">
        <v>8</v>
      </c>
      <c r="D58" s="2" t="s">
        <v>198</v>
      </c>
      <c r="E58" s="2" t="s">
        <v>199</v>
      </c>
      <c r="F58" s="3"/>
    </row>
    <row r="59" spans="1:6" ht="15.75" customHeight="1" x14ac:dyDescent="0.25">
      <c r="A59" s="2" t="s">
        <v>200</v>
      </c>
      <c r="B59" s="2" t="s">
        <v>201</v>
      </c>
      <c r="C59" s="2" t="s">
        <v>8</v>
      </c>
      <c r="D59" s="2" t="s">
        <v>202</v>
      </c>
      <c r="E59" s="2" t="s">
        <v>199</v>
      </c>
      <c r="F59" s="3"/>
    </row>
    <row r="60" spans="1:6" ht="15.75" customHeight="1" x14ac:dyDescent="0.25">
      <c r="A60" s="2" t="s">
        <v>203</v>
      </c>
      <c r="B60" s="2" t="s">
        <v>204</v>
      </c>
      <c r="C60" s="2" t="s">
        <v>8</v>
      </c>
      <c r="D60" s="2" t="s">
        <v>205</v>
      </c>
      <c r="E60" s="2" t="s">
        <v>206</v>
      </c>
      <c r="F60" s="3"/>
    </row>
    <row r="61" spans="1:6" ht="15.75" customHeight="1" x14ac:dyDescent="0.25">
      <c r="A61" s="2" t="s">
        <v>207</v>
      </c>
      <c r="B61" s="2" t="s">
        <v>208</v>
      </c>
      <c r="C61" s="2" t="s">
        <v>8</v>
      </c>
      <c r="D61" s="2" t="s">
        <v>209</v>
      </c>
      <c r="E61" s="2" t="s">
        <v>210</v>
      </c>
      <c r="F61" s="3"/>
    </row>
    <row r="62" spans="1:6" ht="15.75" customHeight="1" x14ac:dyDescent="0.25">
      <c r="A62" s="2" t="s">
        <v>211</v>
      </c>
      <c r="B62" s="2" t="s">
        <v>212</v>
      </c>
      <c r="C62" s="2" t="s">
        <v>8</v>
      </c>
      <c r="D62" s="2" t="s">
        <v>213</v>
      </c>
      <c r="E62" s="2" t="s">
        <v>214</v>
      </c>
      <c r="F62" s="3"/>
    </row>
    <row r="63" spans="1:6" ht="15.75" customHeight="1" x14ac:dyDescent="0.25">
      <c r="A63" s="2" t="s">
        <v>215</v>
      </c>
      <c r="B63" s="2" t="s">
        <v>216</v>
      </c>
      <c r="C63" s="2" t="s">
        <v>8</v>
      </c>
      <c r="D63" s="2" t="s">
        <v>217</v>
      </c>
      <c r="E63" s="2" t="s">
        <v>218</v>
      </c>
      <c r="F63" s="3"/>
    </row>
    <row r="64" spans="1:6" ht="15.75" customHeight="1" x14ac:dyDescent="0.25">
      <c r="A64" s="2" t="s">
        <v>219</v>
      </c>
      <c r="B64" s="2" t="s">
        <v>220</v>
      </c>
      <c r="C64" s="2" t="s">
        <v>8</v>
      </c>
      <c r="D64" s="2" t="s">
        <v>221</v>
      </c>
      <c r="E64" s="2" t="s">
        <v>222</v>
      </c>
      <c r="F64" s="3"/>
    </row>
    <row r="65" spans="1:6" ht="15.75" customHeight="1" x14ac:dyDescent="0.25">
      <c r="A65" s="2" t="s">
        <v>223</v>
      </c>
      <c r="B65" s="2" t="s">
        <v>224</v>
      </c>
      <c r="C65" s="2" t="s">
        <v>8</v>
      </c>
      <c r="D65" s="2" t="s">
        <v>225</v>
      </c>
      <c r="E65" s="2" t="s">
        <v>226</v>
      </c>
      <c r="F65" s="3"/>
    </row>
    <row r="66" spans="1:6" ht="15.75" customHeight="1" x14ac:dyDescent="0.25">
      <c r="A66" s="2" t="s">
        <v>227</v>
      </c>
      <c r="B66" s="2" t="s">
        <v>228</v>
      </c>
      <c r="C66" s="2" t="s">
        <v>8</v>
      </c>
      <c r="D66" s="2" t="s">
        <v>229</v>
      </c>
      <c r="E66" s="2" t="s">
        <v>230</v>
      </c>
      <c r="F66" s="3"/>
    </row>
    <row r="67" spans="1:6" ht="15.75" customHeight="1" x14ac:dyDescent="0.25">
      <c r="A67" s="2" t="s">
        <v>231</v>
      </c>
      <c r="B67" s="2" t="s">
        <v>232</v>
      </c>
      <c r="C67" s="2" t="s">
        <v>8</v>
      </c>
      <c r="D67" s="2" t="s">
        <v>233</v>
      </c>
      <c r="E67" s="2" t="s">
        <v>234</v>
      </c>
      <c r="F67" s="3"/>
    </row>
    <row r="68" spans="1:6" ht="15.75" customHeight="1" x14ac:dyDescent="0.25">
      <c r="A68" s="2" t="s">
        <v>235</v>
      </c>
      <c r="B68" s="2" t="s">
        <v>236</v>
      </c>
      <c r="C68" s="2" t="s">
        <v>8</v>
      </c>
      <c r="D68" s="2" t="s">
        <v>237</v>
      </c>
      <c r="E68" s="2" t="s">
        <v>238</v>
      </c>
      <c r="F68" s="3"/>
    </row>
    <row r="69" spans="1:6" ht="15.75" customHeight="1" x14ac:dyDescent="0.25">
      <c r="A69" s="2" t="s">
        <v>239</v>
      </c>
      <c r="B69" s="2" t="s">
        <v>240</v>
      </c>
      <c r="C69" s="2" t="s">
        <v>8</v>
      </c>
      <c r="D69" s="2" t="s">
        <v>241</v>
      </c>
      <c r="E69" s="2" t="s">
        <v>242</v>
      </c>
      <c r="F69" s="3"/>
    </row>
    <row r="70" spans="1:6" ht="15.75" customHeight="1" x14ac:dyDescent="0.25">
      <c r="A70" s="2" t="s">
        <v>243</v>
      </c>
      <c r="B70" s="2" t="s">
        <v>244</v>
      </c>
      <c r="C70" s="2" t="s">
        <v>8</v>
      </c>
      <c r="D70" s="2" t="s">
        <v>245</v>
      </c>
      <c r="E70" s="2" t="s">
        <v>246</v>
      </c>
      <c r="F70" s="3"/>
    </row>
    <row r="71" spans="1:6" ht="15.75" customHeight="1" x14ac:dyDescent="0.25">
      <c r="A71" s="2" t="s">
        <v>247</v>
      </c>
      <c r="B71" s="2" t="s">
        <v>248</v>
      </c>
      <c r="C71" s="2" t="s">
        <v>8</v>
      </c>
      <c r="D71" s="2" t="s">
        <v>249</v>
      </c>
      <c r="E71" s="2" t="s">
        <v>250</v>
      </c>
      <c r="F71" s="3"/>
    </row>
    <row r="72" spans="1:6" ht="15.75" customHeight="1" x14ac:dyDescent="0.25">
      <c r="A72" s="2" t="s">
        <v>251</v>
      </c>
      <c r="B72" s="2" t="s">
        <v>252</v>
      </c>
      <c r="C72" s="2" t="s">
        <v>8</v>
      </c>
      <c r="D72" s="2" t="s">
        <v>253</v>
      </c>
      <c r="E72" s="2" t="s">
        <v>254</v>
      </c>
      <c r="F72" s="3"/>
    </row>
    <row r="73" spans="1:6" ht="15.75" customHeight="1" x14ac:dyDescent="0.25">
      <c r="A73" s="2" t="s">
        <v>255</v>
      </c>
      <c r="B73" s="2" t="s">
        <v>256</v>
      </c>
      <c r="C73" s="2" t="s">
        <v>8</v>
      </c>
      <c r="D73" s="2" t="s">
        <v>257</v>
      </c>
      <c r="E73" s="2" t="s">
        <v>258</v>
      </c>
      <c r="F73" s="3"/>
    </row>
    <row r="74" spans="1:6" ht="15.75" customHeight="1" x14ac:dyDescent="0.25">
      <c r="A74" s="4" t="s">
        <v>259</v>
      </c>
      <c r="B74" s="4" t="s">
        <v>260</v>
      </c>
      <c r="C74" s="4" t="s">
        <v>8</v>
      </c>
      <c r="D74" s="4" t="s">
        <v>14</v>
      </c>
      <c r="E74" s="4" t="s">
        <v>14</v>
      </c>
      <c r="F74" s="3"/>
    </row>
    <row r="75" spans="1:6" ht="15.75" customHeight="1" x14ac:dyDescent="0.25">
      <c r="A75" s="4" t="s">
        <v>261</v>
      </c>
      <c r="B75" s="4" t="s">
        <v>262</v>
      </c>
      <c r="C75" s="4" t="s">
        <v>8</v>
      </c>
      <c r="D75" s="4" t="s">
        <v>14</v>
      </c>
      <c r="E75" s="4" t="s">
        <v>14</v>
      </c>
      <c r="F75" s="3"/>
    </row>
    <row r="76" spans="1:6" ht="15.75" customHeight="1" x14ac:dyDescent="0.25">
      <c r="A76" s="2" t="s">
        <v>263</v>
      </c>
      <c r="B76" s="2" t="s">
        <v>264</v>
      </c>
      <c r="C76" s="2" t="s">
        <v>8</v>
      </c>
      <c r="D76" s="2" t="s">
        <v>265</v>
      </c>
      <c r="E76" s="2" t="s">
        <v>266</v>
      </c>
      <c r="F76" s="3"/>
    </row>
    <row r="77" spans="1:6" ht="15.75" customHeight="1" x14ac:dyDescent="0.25">
      <c r="A77" s="2" t="s">
        <v>267</v>
      </c>
      <c r="B77" s="2" t="s">
        <v>268</v>
      </c>
      <c r="C77" s="2" t="s">
        <v>8</v>
      </c>
      <c r="D77" s="2" t="s">
        <v>269</v>
      </c>
      <c r="E77" s="2" t="s">
        <v>270</v>
      </c>
      <c r="F77" s="3"/>
    </row>
    <row r="78" spans="1:6" ht="15.75" customHeight="1" x14ac:dyDescent="0.25">
      <c r="A78" s="4" t="s">
        <v>271</v>
      </c>
      <c r="B78" s="4" t="s">
        <v>272</v>
      </c>
      <c r="C78" s="4" t="s">
        <v>8</v>
      </c>
      <c r="D78" s="4" t="s">
        <v>14</v>
      </c>
      <c r="E78" s="4" t="s">
        <v>14</v>
      </c>
      <c r="F78" s="3"/>
    </row>
    <row r="79" spans="1:6" ht="15.75" customHeight="1" x14ac:dyDescent="0.25">
      <c r="A79" s="4" t="s">
        <v>273</v>
      </c>
      <c r="B79" s="4" t="s">
        <v>274</v>
      </c>
      <c r="C79" s="4" t="s">
        <v>8</v>
      </c>
      <c r="D79" s="4" t="s">
        <v>14</v>
      </c>
      <c r="E79" s="4" t="s">
        <v>14</v>
      </c>
      <c r="F79" s="3"/>
    </row>
    <row r="80" spans="1:6" ht="15.75" customHeight="1" x14ac:dyDescent="0.25">
      <c r="A80" s="4" t="s">
        <v>275</v>
      </c>
      <c r="B80" s="4" t="s">
        <v>276</v>
      </c>
      <c r="C80" s="4" t="s">
        <v>8</v>
      </c>
      <c r="D80" s="4" t="s">
        <v>14</v>
      </c>
      <c r="E80" s="4" t="s">
        <v>14</v>
      </c>
      <c r="F80" s="3"/>
    </row>
    <row r="81" spans="1:6" ht="15.75" customHeight="1" x14ac:dyDescent="0.25">
      <c r="A81" s="4" t="s">
        <v>277</v>
      </c>
      <c r="B81" s="4" t="s">
        <v>278</v>
      </c>
      <c r="C81" s="4" t="s">
        <v>8</v>
      </c>
      <c r="D81" s="4" t="s">
        <v>14</v>
      </c>
      <c r="E81" s="4" t="s">
        <v>14</v>
      </c>
      <c r="F81" s="3"/>
    </row>
    <row r="82" spans="1:6" ht="15.75" customHeight="1" x14ac:dyDescent="0.25">
      <c r="A82" s="4" t="s">
        <v>279</v>
      </c>
      <c r="B82" s="4" t="s">
        <v>280</v>
      </c>
      <c r="C82" s="4" t="s">
        <v>8</v>
      </c>
      <c r="D82" s="4" t="s">
        <v>14</v>
      </c>
      <c r="E82" s="4" t="s">
        <v>14</v>
      </c>
      <c r="F82" s="3"/>
    </row>
    <row r="83" spans="1:6" ht="15.75" customHeight="1" x14ac:dyDescent="0.25">
      <c r="A83" s="3" t="s">
        <v>281</v>
      </c>
      <c r="B83" s="3" t="s">
        <v>282</v>
      </c>
      <c r="C83" s="3" t="s">
        <v>17</v>
      </c>
      <c r="D83" s="3" t="s">
        <v>283</v>
      </c>
      <c r="E83" s="3"/>
      <c r="F83" s="3" t="s">
        <v>284</v>
      </c>
    </row>
    <row r="84" spans="1:6" ht="15.75" customHeight="1" x14ac:dyDescent="0.25">
      <c r="A84" s="3" t="s">
        <v>281</v>
      </c>
      <c r="B84" s="3" t="s">
        <v>285</v>
      </c>
      <c r="C84" s="3" t="s">
        <v>17</v>
      </c>
      <c r="D84" s="3" t="s">
        <v>286</v>
      </c>
      <c r="E84" s="3"/>
      <c r="F84" s="3" t="s">
        <v>284</v>
      </c>
    </row>
    <row r="85" spans="1:6" ht="15.75" customHeight="1" x14ac:dyDescent="0.25"/>
    <row r="86" spans="1:6" ht="15.75" customHeight="1" x14ac:dyDescent="0.25"/>
    <row r="87" spans="1:6" ht="15.75" customHeight="1" x14ac:dyDescent="0.25"/>
    <row r="88" spans="1:6" ht="15.75" customHeight="1" x14ac:dyDescent="0.25"/>
    <row r="89" spans="1:6" ht="15.75" customHeight="1" x14ac:dyDescent="0.25"/>
    <row r="90" spans="1:6" ht="15.75" customHeight="1" x14ac:dyDescent="0.25"/>
    <row r="91" spans="1:6" ht="15.75" customHeight="1" x14ac:dyDescent="0.25"/>
    <row r="92" spans="1:6" ht="15.75" customHeight="1" x14ac:dyDescent="0.25"/>
    <row r="93" spans="1:6" ht="15.75" customHeight="1" x14ac:dyDescent="0.25"/>
    <row r="94" spans="1:6" ht="15.75" customHeight="1" x14ac:dyDescent="0.25"/>
    <row r="95" spans="1:6" ht="15.75" customHeight="1" x14ac:dyDescent="0.25"/>
    <row r="96" spans="1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honeticPr fontId="6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78"/>
  <sheetViews>
    <sheetView workbookViewId="0"/>
  </sheetViews>
  <sheetFormatPr defaultColWidth="12.6328125" defaultRowHeight="15" customHeight="1" x14ac:dyDescent="0.25"/>
  <cols>
    <col min="1" max="1" width="31.6328125" customWidth="1"/>
    <col min="2" max="2" width="20.453125" customWidth="1"/>
    <col min="3" max="3" width="10" customWidth="1"/>
    <col min="4" max="4" width="55.90625" customWidth="1"/>
    <col min="5" max="5" width="62.7265625" customWidth="1"/>
    <col min="6" max="6" width="39" customWidth="1"/>
    <col min="7" max="7" width="28.7265625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287</v>
      </c>
      <c r="F1" s="5" t="s">
        <v>4</v>
      </c>
      <c r="G1" s="5" t="s">
        <v>5</v>
      </c>
    </row>
    <row r="2" spans="1:7" ht="15" customHeight="1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tr">
        <f ca="1">IFERROR(__xludf.DUMMYFUNCTION("PROPER(GOOGLETRANSLATE(D2,""EN"",""ID""))"),"Silakan Masukkan Kartu Sim")</f>
        <v>Silakan Masukkan Kartu Sim</v>
      </c>
      <c r="F2" s="6" t="s">
        <v>10</v>
      </c>
      <c r="G2" s="6"/>
    </row>
    <row r="3" spans="1:7" ht="15" customHeight="1" x14ac:dyDescent="0.25">
      <c r="A3" s="6" t="s">
        <v>15</v>
      </c>
      <c r="B3" s="6" t="s">
        <v>16</v>
      </c>
      <c r="C3" s="6" t="s">
        <v>17</v>
      </c>
      <c r="D3" s="6" t="s">
        <v>18</v>
      </c>
      <c r="E3" s="6" t="str">
        <f ca="1">IFERROR(__xludf.DUMMYFUNCTION("PROPER(GOOGLETRANSLATE(D3,""EN"",""ID""))"),"Nol")</f>
        <v>Nol</v>
      </c>
      <c r="F3" s="6" t="s">
        <v>19</v>
      </c>
      <c r="G3" s="6"/>
    </row>
    <row r="4" spans="1:7" ht="15" customHeight="1" x14ac:dyDescent="0.25">
      <c r="A4" s="6" t="s">
        <v>20</v>
      </c>
      <c r="B4" s="6" t="s">
        <v>21</v>
      </c>
      <c r="C4" s="6" t="s">
        <v>17</v>
      </c>
      <c r="D4" s="6" t="s">
        <v>22</v>
      </c>
      <c r="E4" s="6" t="str">
        <f ca="1">IFERROR(__xludf.DUMMYFUNCTION("PROPER(GOOGLETRANSLATE(D4,""EN"",""ID""))"),"Satu")</f>
        <v>Satu</v>
      </c>
      <c r="F4" s="6" t="s">
        <v>19</v>
      </c>
      <c r="G4" s="6"/>
    </row>
    <row r="5" spans="1:7" ht="15" customHeight="1" x14ac:dyDescent="0.25">
      <c r="A5" s="6" t="s">
        <v>23</v>
      </c>
      <c r="B5" s="6" t="s">
        <v>24</v>
      </c>
      <c r="C5" s="6" t="s">
        <v>17</v>
      </c>
      <c r="D5" s="6" t="s">
        <v>25</v>
      </c>
      <c r="E5" s="6" t="str">
        <f ca="1">IFERROR(__xludf.DUMMYFUNCTION("PROPER(GOOGLETRANSLATE(D5,""EN"",""ID""))"),"Dua")</f>
        <v>Dua</v>
      </c>
      <c r="F5" s="6" t="s">
        <v>19</v>
      </c>
      <c r="G5" s="6"/>
    </row>
    <row r="6" spans="1:7" ht="15" customHeight="1" x14ac:dyDescent="0.25">
      <c r="A6" s="6" t="s">
        <v>26</v>
      </c>
      <c r="B6" s="6" t="s">
        <v>27</v>
      </c>
      <c r="C6" s="6" t="s">
        <v>17</v>
      </c>
      <c r="D6" s="6" t="s">
        <v>28</v>
      </c>
      <c r="E6" s="6" t="str">
        <f ca="1">IFERROR(__xludf.DUMMYFUNCTION("PROPER(GOOGLETRANSLATE(D6,""EN"",""ID""))"),"Tiga")</f>
        <v>Tiga</v>
      </c>
      <c r="F6" s="6" t="s">
        <v>19</v>
      </c>
      <c r="G6" s="6"/>
    </row>
    <row r="7" spans="1:7" ht="15" customHeight="1" x14ac:dyDescent="0.25">
      <c r="A7" s="6" t="s">
        <v>29</v>
      </c>
      <c r="B7" s="6" t="s">
        <v>30</v>
      </c>
      <c r="C7" s="6" t="s">
        <v>17</v>
      </c>
      <c r="D7" s="6" t="s">
        <v>31</v>
      </c>
      <c r="E7" s="6" t="str">
        <f ca="1">IFERROR(__xludf.DUMMYFUNCTION("PROPER(GOOGLETRANSLATE(D7,""EN"",""ID""))"),"Empat")</f>
        <v>Empat</v>
      </c>
      <c r="F7" s="6" t="s">
        <v>19</v>
      </c>
      <c r="G7" s="6"/>
    </row>
    <row r="8" spans="1:7" ht="15" customHeight="1" x14ac:dyDescent="0.25">
      <c r="A8" s="6" t="s">
        <v>32</v>
      </c>
      <c r="B8" s="6" t="s">
        <v>33</v>
      </c>
      <c r="C8" s="6" t="s">
        <v>17</v>
      </c>
      <c r="D8" s="6" t="s">
        <v>34</v>
      </c>
      <c r="E8" s="6" t="str">
        <f ca="1">IFERROR(__xludf.DUMMYFUNCTION("PROPER(GOOGLETRANSLATE(D8,""EN"",""ID""))"),"Lima")</f>
        <v>Lima</v>
      </c>
      <c r="F8" s="6" t="s">
        <v>19</v>
      </c>
      <c r="G8" s="6"/>
    </row>
    <row r="9" spans="1:7" ht="15" customHeight="1" x14ac:dyDescent="0.25">
      <c r="A9" s="6" t="s">
        <v>35</v>
      </c>
      <c r="B9" s="6" t="s">
        <v>36</v>
      </c>
      <c r="C9" s="6" t="s">
        <v>17</v>
      </c>
      <c r="D9" s="6" t="s">
        <v>37</v>
      </c>
      <c r="E9" s="6" t="str">
        <f ca="1">IFERROR(__xludf.DUMMYFUNCTION("PROPER(GOOGLETRANSLATE(D9,""EN"",""ID""))"),"Enam")</f>
        <v>Enam</v>
      </c>
      <c r="F9" s="6" t="s">
        <v>19</v>
      </c>
      <c r="G9" s="6"/>
    </row>
    <row r="10" spans="1:7" ht="15" customHeight="1" x14ac:dyDescent="0.25">
      <c r="A10" s="6" t="s">
        <v>38</v>
      </c>
      <c r="B10" s="6" t="s">
        <v>39</v>
      </c>
      <c r="C10" s="6" t="s">
        <v>17</v>
      </c>
      <c r="D10" s="6" t="s">
        <v>40</v>
      </c>
      <c r="E10" s="6" t="str">
        <f ca="1">IFERROR(__xludf.DUMMYFUNCTION("PROPER(GOOGLETRANSLATE(D10,""EN"",""ID""))"),"Tujuh")</f>
        <v>Tujuh</v>
      </c>
      <c r="F10" s="6" t="s">
        <v>19</v>
      </c>
      <c r="G10" s="6"/>
    </row>
    <row r="11" spans="1:7" ht="15" customHeight="1" x14ac:dyDescent="0.25">
      <c r="A11" s="6" t="s">
        <v>41</v>
      </c>
      <c r="B11" s="6" t="s">
        <v>42</v>
      </c>
      <c r="C11" s="6" t="s">
        <v>17</v>
      </c>
      <c r="D11" s="6" t="s">
        <v>43</v>
      </c>
      <c r="E11" s="6" t="str">
        <f ca="1">IFERROR(__xludf.DUMMYFUNCTION("PROPER(GOOGLETRANSLATE(D11,""EN"",""ID""))"),"Delapan")</f>
        <v>Delapan</v>
      </c>
      <c r="F11" s="6" t="s">
        <v>19</v>
      </c>
      <c r="G11" s="6"/>
    </row>
    <row r="12" spans="1:7" ht="15" customHeight="1" x14ac:dyDescent="0.25">
      <c r="A12" s="6" t="s">
        <v>44</v>
      </c>
      <c r="B12" s="6" t="s">
        <v>45</v>
      </c>
      <c r="C12" s="6" t="s">
        <v>17</v>
      </c>
      <c r="D12" s="6" t="s">
        <v>46</v>
      </c>
      <c r="E12" s="6" t="str">
        <f ca="1">IFERROR(__xludf.DUMMYFUNCTION("PROPER(GOOGLETRANSLATE(D12,""EN"",""ID""))"),"Sembilan")</f>
        <v>Sembilan</v>
      </c>
      <c r="F12" s="6" t="s">
        <v>19</v>
      </c>
      <c r="G12" s="6"/>
    </row>
    <row r="13" spans="1:7" ht="15" customHeight="1" x14ac:dyDescent="0.25">
      <c r="A13" s="6" t="s">
        <v>47</v>
      </c>
      <c r="B13" s="6" t="s">
        <v>48</v>
      </c>
      <c r="C13" s="6" t="s">
        <v>17</v>
      </c>
      <c r="D13" s="6" t="s">
        <v>49</v>
      </c>
      <c r="E13" s="6" t="str">
        <f ca="1">IFERROR(__xludf.DUMMYFUNCTION("PROPER(GOOGLETRANSLATE(D13,""EN"",""ID""))"),"Sepuluh")</f>
        <v>Sepuluh</v>
      </c>
      <c r="F13" s="6" t="s">
        <v>19</v>
      </c>
      <c r="G13" s="6"/>
    </row>
    <row r="14" spans="1:7" ht="15" customHeight="1" x14ac:dyDescent="0.25">
      <c r="A14" s="6" t="s">
        <v>50</v>
      </c>
      <c r="B14" s="6" t="s">
        <v>51</v>
      </c>
      <c r="C14" s="6" t="s">
        <v>17</v>
      </c>
      <c r="D14" s="6" t="s">
        <v>52</v>
      </c>
      <c r="E14" s="6" t="str">
        <f ca="1">IFERROR(__xludf.DUMMYFUNCTION("PROPER(GOOGLETRANSLATE(D14,""EN"",""ID""))"),"Sebelas")</f>
        <v>Sebelas</v>
      </c>
      <c r="F14" s="6" t="s">
        <v>19</v>
      </c>
      <c r="G14" s="6"/>
    </row>
    <row r="15" spans="1:7" ht="15" customHeight="1" x14ac:dyDescent="0.25">
      <c r="A15" s="6" t="s">
        <v>53</v>
      </c>
      <c r="B15" s="6" t="s">
        <v>54</v>
      </c>
      <c r="C15" s="6" t="s">
        <v>17</v>
      </c>
      <c r="D15" s="6" t="s">
        <v>55</v>
      </c>
      <c r="E15" s="6" t="str">
        <f ca="1">IFERROR(__xludf.DUMMYFUNCTION("PROPER(GOOGLETRANSLATE(D15,""EN"",""ID""))"),"Dua Belas")</f>
        <v>Dua Belas</v>
      </c>
      <c r="F15" s="6" t="s">
        <v>19</v>
      </c>
      <c r="G15" s="6"/>
    </row>
    <row r="16" spans="1:7" ht="15" customHeight="1" x14ac:dyDescent="0.25">
      <c r="A16" s="6" t="s">
        <v>56</v>
      </c>
      <c r="B16" s="6" t="s">
        <v>57</v>
      </c>
      <c r="C16" s="6" t="s">
        <v>17</v>
      </c>
      <c r="D16" s="6" t="s">
        <v>58</v>
      </c>
      <c r="E16" s="6" t="str">
        <f ca="1">IFERROR(__xludf.DUMMYFUNCTION("PROPER(GOOGLETRANSLATE(D16,""EN"",""ID""))"),"Tigabelas")</f>
        <v>Tigabelas</v>
      </c>
      <c r="F16" s="6" t="s">
        <v>19</v>
      </c>
      <c r="G16" s="6"/>
    </row>
    <row r="17" spans="1:7" ht="15" customHeight="1" x14ac:dyDescent="0.25">
      <c r="A17" s="6" t="s">
        <v>59</v>
      </c>
      <c r="B17" s="6" t="s">
        <v>60</v>
      </c>
      <c r="C17" s="6" t="s">
        <v>17</v>
      </c>
      <c r="D17" s="6" t="s">
        <v>61</v>
      </c>
      <c r="E17" s="6" t="str">
        <f ca="1">IFERROR(__xludf.DUMMYFUNCTION("PROPER(GOOGLETRANSLATE(D17,""EN"",""ID""))"),"Empat Belas")</f>
        <v>Empat Belas</v>
      </c>
      <c r="F17" s="6" t="s">
        <v>19</v>
      </c>
      <c r="G17" s="6"/>
    </row>
    <row r="18" spans="1:7" ht="15" customHeight="1" x14ac:dyDescent="0.25">
      <c r="A18" s="6" t="s">
        <v>62</v>
      </c>
      <c r="B18" s="6" t="s">
        <v>63</v>
      </c>
      <c r="C18" s="6" t="s">
        <v>17</v>
      </c>
      <c r="D18" s="6" t="s">
        <v>64</v>
      </c>
      <c r="E18" s="6" t="str">
        <f ca="1">IFERROR(__xludf.DUMMYFUNCTION("PROPER(GOOGLETRANSLATE(D18,""EN"",""ID""))"),"Limabelas")</f>
        <v>Limabelas</v>
      </c>
      <c r="F18" s="6" t="s">
        <v>19</v>
      </c>
      <c r="G18" s="6"/>
    </row>
    <row r="19" spans="1:7" ht="15" customHeight="1" x14ac:dyDescent="0.25">
      <c r="A19" s="6" t="s">
        <v>65</v>
      </c>
      <c r="B19" s="6" t="s">
        <v>66</v>
      </c>
      <c r="C19" s="6" t="s">
        <v>17</v>
      </c>
      <c r="D19" s="6" t="s">
        <v>67</v>
      </c>
      <c r="E19" s="6" t="str">
        <f ca="1">IFERROR(__xludf.DUMMYFUNCTION("PROPER(GOOGLETRANSLATE(D19,""EN"",""ID""))"),"Enambelas")</f>
        <v>Enambelas</v>
      </c>
      <c r="F19" s="6" t="s">
        <v>19</v>
      </c>
      <c r="G19" s="6"/>
    </row>
    <row r="20" spans="1:7" ht="15" customHeight="1" x14ac:dyDescent="0.25">
      <c r="A20" s="6" t="s">
        <v>68</v>
      </c>
      <c r="B20" s="6" t="s">
        <v>69</v>
      </c>
      <c r="C20" s="6" t="s">
        <v>17</v>
      </c>
      <c r="D20" s="6" t="s">
        <v>70</v>
      </c>
      <c r="E20" s="6" t="str">
        <f ca="1">IFERROR(__xludf.DUMMYFUNCTION("PROPER(GOOGLETRANSLATE(D20,""EN"",""ID""))"),"Tujuhbelas")</f>
        <v>Tujuhbelas</v>
      </c>
      <c r="F20" s="6" t="s">
        <v>19</v>
      </c>
      <c r="G20" s="6"/>
    </row>
    <row r="21" spans="1:7" ht="15" customHeight="1" x14ac:dyDescent="0.25">
      <c r="A21" s="6" t="s">
        <v>71</v>
      </c>
      <c r="B21" s="6" t="s">
        <v>72</v>
      </c>
      <c r="C21" s="6" t="s">
        <v>17</v>
      </c>
      <c r="D21" s="6" t="s">
        <v>73</v>
      </c>
      <c r="E21" s="6" t="str">
        <f ca="1">IFERROR(__xludf.DUMMYFUNCTION("PROPER(GOOGLETRANSLATE(D21,""EN"",""ID""))"),"Delapan Belas")</f>
        <v>Delapan Belas</v>
      </c>
      <c r="F21" s="6" t="s">
        <v>19</v>
      </c>
      <c r="G21" s="6"/>
    </row>
    <row r="22" spans="1:7" ht="15" customHeight="1" x14ac:dyDescent="0.25">
      <c r="A22" s="6" t="s">
        <v>74</v>
      </c>
      <c r="B22" s="6" t="s">
        <v>75</v>
      </c>
      <c r="C22" s="6" t="s">
        <v>17</v>
      </c>
      <c r="D22" s="6" t="s">
        <v>76</v>
      </c>
      <c r="E22" s="6" t="str">
        <f ca="1">IFERROR(__xludf.DUMMYFUNCTION("PROPER(GOOGLETRANSLATE(D22,""EN"",""ID""))"),"Sembilan Belas")</f>
        <v>Sembilan Belas</v>
      </c>
      <c r="F22" s="6" t="s">
        <v>19</v>
      </c>
      <c r="G22" s="6"/>
    </row>
    <row r="23" spans="1:7" ht="15" customHeight="1" x14ac:dyDescent="0.25">
      <c r="A23" s="6" t="s">
        <v>77</v>
      </c>
      <c r="B23" s="6" t="s">
        <v>78</v>
      </c>
      <c r="C23" s="6" t="s">
        <v>17</v>
      </c>
      <c r="D23" s="6" t="s">
        <v>79</v>
      </c>
      <c r="E23" s="6" t="str">
        <f ca="1">IFERROR(__xludf.DUMMYFUNCTION("PROPER(GOOGLETRANSLATE(D23,""EN"",""ID""))"),"Dua Puluh")</f>
        <v>Dua Puluh</v>
      </c>
      <c r="F23" s="6" t="s">
        <v>19</v>
      </c>
      <c r="G23" s="6"/>
    </row>
    <row r="24" spans="1:7" ht="15" customHeight="1" x14ac:dyDescent="0.25">
      <c r="A24" s="6" t="s">
        <v>80</v>
      </c>
      <c r="B24" s="6" t="s">
        <v>81</v>
      </c>
      <c r="C24" s="6" t="s">
        <v>17</v>
      </c>
      <c r="D24" s="6" t="s">
        <v>82</v>
      </c>
      <c r="E24" s="6" t="str">
        <f ca="1">IFERROR(__xludf.DUMMYFUNCTION("PROPER(GOOGLETRANSLATE(D24,""EN"",""ID""))"),"Tigapuluh")</f>
        <v>Tigapuluh</v>
      </c>
      <c r="F24" s="6" t="s">
        <v>19</v>
      </c>
      <c r="G24" s="6"/>
    </row>
    <row r="25" spans="1:7" ht="15" customHeight="1" x14ac:dyDescent="0.25">
      <c r="A25" s="6" t="s">
        <v>83</v>
      </c>
      <c r="B25" s="6" t="s">
        <v>84</v>
      </c>
      <c r="C25" s="6" t="s">
        <v>17</v>
      </c>
      <c r="D25" s="6" t="s">
        <v>85</v>
      </c>
      <c r="E25" s="6" t="str">
        <f ca="1">IFERROR(__xludf.DUMMYFUNCTION("PROPER(GOOGLETRANSLATE(D25,""EN"",""ID""))"),"Empat Puluh")</f>
        <v>Empat Puluh</v>
      </c>
      <c r="F25" s="6" t="s">
        <v>19</v>
      </c>
      <c r="G25" s="6"/>
    </row>
    <row r="26" spans="1:7" ht="15" customHeight="1" x14ac:dyDescent="0.25">
      <c r="A26" s="6" t="s">
        <v>86</v>
      </c>
      <c r="B26" s="6" t="s">
        <v>87</v>
      </c>
      <c r="C26" s="6" t="s">
        <v>17</v>
      </c>
      <c r="D26" s="6" t="s">
        <v>88</v>
      </c>
      <c r="E26" s="6" t="str">
        <f ca="1">IFERROR(__xludf.DUMMYFUNCTION("PROPER(GOOGLETRANSLATE(D26,""EN"",""ID""))"),"Lima Puluh")</f>
        <v>Lima Puluh</v>
      </c>
      <c r="F26" s="6" t="s">
        <v>19</v>
      </c>
      <c r="G26" s="6"/>
    </row>
    <row r="27" spans="1:7" ht="15" customHeight="1" x14ac:dyDescent="0.25">
      <c r="A27" s="6" t="s">
        <v>89</v>
      </c>
      <c r="B27" s="6" t="s">
        <v>90</v>
      </c>
      <c r="C27" s="6" t="s">
        <v>17</v>
      </c>
      <c r="D27" s="6" t="s">
        <v>91</v>
      </c>
      <c r="E27" s="6" t="str">
        <f ca="1">IFERROR(__xludf.DUMMYFUNCTION("PROPER(GOOGLETRANSLATE(D27,""EN"",""ID""))"),"Enam Puluh")</f>
        <v>Enam Puluh</v>
      </c>
      <c r="F27" s="6" t="s">
        <v>19</v>
      </c>
      <c r="G27" s="6"/>
    </row>
    <row r="28" spans="1:7" ht="15" customHeight="1" x14ac:dyDescent="0.25">
      <c r="A28" s="6" t="s">
        <v>92</v>
      </c>
      <c r="B28" s="6" t="s">
        <v>93</v>
      </c>
      <c r="C28" s="6" t="s">
        <v>17</v>
      </c>
      <c r="D28" s="6" t="s">
        <v>94</v>
      </c>
      <c r="E28" s="6" t="str">
        <f ca="1">IFERROR(__xludf.DUMMYFUNCTION("PROPER(GOOGLETRANSLATE(D28,""EN"",""ID""))"),"Tujuh Puluh")</f>
        <v>Tujuh Puluh</v>
      </c>
      <c r="F28" s="6" t="s">
        <v>19</v>
      </c>
      <c r="G28" s="6"/>
    </row>
    <row r="29" spans="1:7" ht="15" customHeight="1" x14ac:dyDescent="0.25">
      <c r="A29" s="6" t="s">
        <v>95</v>
      </c>
      <c r="B29" s="6" t="s">
        <v>96</v>
      </c>
      <c r="C29" s="6" t="s">
        <v>17</v>
      </c>
      <c r="D29" s="6" t="s">
        <v>97</v>
      </c>
      <c r="E29" s="6" t="str">
        <f ca="1">IFERROR(__xludf.DUMMYFUNCTION("PROPER(GOOGLETRANSLATE(D29,""EN"",""ID""))"),"Delapan Puluh")</f>
        <v>Delapan Puluh</v>
      </c>
      <c r="F29" s="6" t="s">
        <v>19</v>
      </c>
      <c r="G29" s="6"/>
    </row>
    <row r="30" spans="1:7" ht="15" customHeight="1" x14ac:dyDescent="0.25">
      <c r="A30" s="6" t="s">
        <v>98</v>
      </c>
      <c r="B30" s="6" t="s">
        <v>99</v>
      </c>
      <c r="C30" s="6" t="s">
        <v>17</v>
      </c>
      <c r="D30" s="6" t="s">
        <v>100</v>
      </c>
      <c r="E30" s="6" t="str">
        <f ca="1">IFERROR(__xludf.DUMMYFUNCTION("PROPER(GOOGLETRANSLATE(D30,""EN"",""ID""))"),"Sembilan Puluh")</f>
        <v>Sembilan Puluh</v>
      </c>
      <c r="F30" s="6" t="s">
        <v>19</v>
      </c>
      <c r="G30" s="6"/>
    </row>
    <row r="31" spans="1:7" ht="15" customHeight="1" x14ac:dyDescent="0.25">
      <c r="A31" s="6" t="s">
        <v>101</v>
      </c>
      <c r="B31" s="6" t="s">
        <v>102</v>
      </c>
      <c r="C31" s="6" t="s">
        <v>17</v>
      </c>
      <c r="D31" s="6" t="s">
        <v>103</v>
      </c>
      <c r="E31" s="6" t="str">
        <f ca="1">IFERROR(__xludf.DUMMYFUNCTION("PROPER(GOOGLETRANSLATE(D31,""EN"",""ID""))"),"Ratus")</f>
        <v>Ratus</v>
      </c>
      <c r="F31" s="6" t="s">
        <v>19</v>
      </c>
      <c r="G31" s="6"/>
    </row>
    <row r="32" spans="1:7" ht="15" customHeight="1" x14ac:dyDescent="0.25">
      <c r="A32" s="6" t="s">
        <v>104</v>
      </c>
      <c r="B32" s="6" t="s">
        <v>105</v>
      </c>
      <c r="C32" s="6" t="s">
        <v>17</v>
      </c>
      <c r="D32" s="6" t="s">
        <v>106</v>
      </c>
      <c r="E32" s="6" t="str">
        <f ca="1">IFERROR(__xludf.DUMMYFUNCTION("PROPER(GOOGLETRANSLATE(D32,""EN"",""ID""))"),"Ribu")</f>
        <v>Ribu</v>
      </c>
      <c r="F32" s="6" t="s">
        <v>19</v>
      </c>
      <c r="G32" s="6"/>
    </row>
    <row r="33" spans="1:7" ht="15" customHeight="1" x14ac:dyDescent="0.25">
      <c r="A33" s="6" t="s">
        <v>107</v>
      </c>
      <c r="B33" s="6" t="s">
        <v>108</v>
      </c>
      <c r="C33" s="6" t="s">
        <v>17</v>
      </c>
      <c r="D33" s="6" t="s">
        <v>109</v>
      </c>
      <c r="E33" s="6" t="str">
        <f ca="1">IFERROR(__xludf.DUMMYFUNCTION("PROPER(GOOGLETRANSLATE(D33,""EN"",""ID""))"),"Juta")</f>
        <v>Juta</v>
      </c>
      <c r="F33" s="6" t="s">
        <v>19</v>
      </c>
      <c r="G33" s="6" t="s">
        <v>110</v>
      </c>
    </row>
    <row r="34" spans="1:7" ht="15" customHeight="1" x14ac:dyDescent="0.25">
      <c r="A34" s="6" t="s">
        <v>111</v>
      </c>
      <c r="B34" s="6" t="s">
        <v>112</v>
      </c>
      <c r="C34" s="6" t="s">
        <v>17</v>
      </c>
      <c r="D34" s="6" t="s">
        <v>113</v>
      </c>
      <c r="E34" s="6" t="str">
        <f ca="1">IFERROR(__xludf.DUMMYFUNCTION("PROPER(GOOGLETRANSLATE(D34,""EN"",""ID""))"),"Desimal")</f>
        <v>Desimal</v>
      </c>
      <c r="F34" s="6" t="s">
        <v>114</v>
      </c>
      <c r="G34" s="6" t="s">
        <v>115</v>
      </c>
    </row>
    <row r="35" spans="1:7" ht="15" customHeight="1" x14ac:dyDescent="0.25">
      <c r="A35" s="6" t="s">
        <v>116</v>
      </c>
      <c r="B35" s="6" t="s">
        <v>117</v>
      </c>
      <c r="C35" s="6" t="s">
        <v>17</v>
      </c>
      <c r="D35" s="6" t="s">
        <v>118</v>
      </c>
      <c r="E35" s="6" t="s">
        <v>288</v>
      </c>
      <c r="F35" s="6" t="s">
        <v>19</v>
      </c>
      <c r="G35" s="6"/>
    </row>
    <row r="36" spans="1:7" ht="15" customHeight="1" x14ac:dyDescent="0.25">
      <c r="A36" s="6" t="s">
        <v>122</v>
      </c>
      <c r="B36" s="6" t="s">
        <v>123</v>
      </c>
      <c r="C36" s="6" t="s">
        <v>8</v>
      </c>
      <c r="D36" s="6" t="s">
        <v>124</v>
      </c>
      <c r="E36" s="6" t="str">
        <f ca="1">IFERROR(__xludf.DUMMYFUNCTION("PROPER(GOOGLETRANSLATE(D36,""EN"",""ID""))"),"*Bunyi Bip*")</f>
        <v>*Bunyi Bip*</v>
      </c>
      <c r="F36" s="6" t="s">
        <v>125</v>
      </c>
      <c r="G36" s="6"/>
    </row>
    <row r="37" spans="1:7" ht="15" customHeight="1" x14ac:dyDescent="0.25">
      <c r="A37" s="6" t="s">
        <v>126</v>
      </c>
      <c r="B37" s="6" t="s">
        <v>127</v>
      </c>
      <c r="C37" s="6" t="s">
        <v>8</v>
      </c>
      <c r="D37" s="6" t="s">
        <v>128</v>
      </c>
      <c r="E37" s="6" t="str">
        <f ca="1">IFERROR(__xludf.DUMMYFUNCTION("PROPER(GOOGLETRANSLATE(D37,""EN"",""ID""))"),"Atau")</f>
        <v>Atau</v>
      </c>
      <c r="F37" s="6" t="s">
        <v>129</v>
      </c>
      <c r="G37" s="6"/>
    </row>
    <row r="38" spans="1:7" ht="15" customHeight="1" x14ac:dyDescent="0.25">
      <c r="A38" s="6" t="s">
        <v>130</v>
      </c>
      <c r="B38" s="7" t="s">
        <v>131</v>
      </c>
      <c r="C38" s="6" t="s">
        <v>8</v>
      </c>
      <c r="D38" s="6" t="s">
        <v>132</v>
      </c>
      <c r="E38" s="6" t="s">
        <v>289</v>
      </c>
      <c r="F38" s="6" t="s">
        <v>133</v>
      </c>
      <c r="G38" s="6"/>
    </row>
    <row r="39" spans="1:7" ht="12.5" x14ac:dyDescent="0.25">
      <c r="A39" s="6" t="s">
        <v>134</v>
      </c>
      <c r="B39" s="6" t="s">
        <v>135</v>
      </c>
      <c r="C39" s="6" t="s">
        <v>8</v>
      </c>
      <c r="D39" s="6" t="s">
        <v>136</v>
      </c>
      <c r="E39" s="6" t="s">
        <v>290</v>
      </c>
      <c r="F39" s="6" t="s">
        <v>137</v>
      </c>
      <c r="G39" s="6"/>
    </row>
    <row r="40" spans="1:7" ht="12.5" x14ac:dyDescent="0.25">
      <c r="A40" s="6" t="s">
        <v>138</v>
      </c>
      <c r="B40" s="6" t="s">
        <v>139</v>
      </c>
      <c r="C40" s="6" t="s">
        <v>8</v>
      </c>
      <c r="D40" s="6" t="s">
        <v>140</v>
      </c>
      <c r="E40" s="6" t="s">
        <v>291</v>
      </c>
      <c r="F40" s="6" t="s">
        <v>141</v>
      </c>
      <c r="G40" s="6"/>
    </row>
    <row r="41" spans="1:7" ht="12.5" x14ac:dyDescent="0.25">
      <c r="A41" s="6" t="s">
        <v>142</v>
      </c>
      <c r="B41" s="6" t="s">
        <v>7</v>
      </c>
      <c r="C41" s="6" t="s">
        <v>8</v>
      </c>
      <c r="D41" s="6" t="s">
        <v>9</v>
      </c>
      <c r="E41" s="6" t="str">
        <f ca="1">IFERROR(__xludf.DUMMYFUNCTION("PROPER(GOOGLETRANSLATE(D41,""EN"",""ID""))"),"Silakan Masukkan Kartu Sim")</f>
        <v>Silakan Masukkan Kartu Sim</v>
      </c>
      <c r="F41" s="6" t="s">
        <v>141</v>
      </c>
      <c r="G41" s="6"/>
    </row>
    <row r="42" spans="1:7" ht="12.5" x14ac:dyDescent="0.25">
      <c r="A42" s="6" t="s">
        <v>143</v>
      </c>
      <c r="B42" s="6" t="s">
        <v>144</v>
      </c>
      <c r="C42" s="6" t="s">
        <v>8</v>
      </c>
      <c r="D42" s="6" t="s">
        <v>145</v>
      </c>
      <c r="E42" s="6" t="s">
        <v>292</v>
      </c>
      <c r="F42" s="6" t="s">
        <v>146</v>
      </c>
      <c r="G42" s="6"/>
    </row>
    <row r="43" spans="1:7" ht="12.5" x14ac:dyDescent="0.25">
      <c r="A43" s="6" t="s">
        <v>147</v>
      </c>
      <c r="B43" s="6" t="s">
        <v>148</v>
      </c>
      <c r="C43" s="6" t="s">
        <v>8</v>
      </c>
      <c r="D43" s="6" t="s">
        <v>149</v>
      </c>
      <c r="E43" s="6" t="str">
        <f ca="1">IFERROR(__xludf.DUMMYFUNCTION("PROPER(GOOGLETRANSLATE(D43,""EN"",""ID""))"),"Menghubungkan Ke Jaringan")</f>
        <v>Menghubungkan Ke Jaringan</v>
      </c>
      <c r="F43" s="6" t="s">
        <v>150</v>
      </c>
      <c r="G43" s="6"/>
    </row>
    <row r="44" spans="1:7" ht="12.5" x14ac:dyDescent="0.25">
      <c r="A44" s="6" t="s">
        <v>151</v>
      </c>
      <c r="B44" s="6" t="s">
        <v>152</v>
      </c>
      <c r="C44" s="6" t="s">
        <v>8</v>
      </c>
      <c r="D44" s="6" t="s">
        <v>153</v>
      </c>
      <c r="E44" s="6" t="s">
        <v>293</v>
      </c>
      <c r="F44" s="6" t="s">
        <v>154</v>
      </c>
      <c r="G44" s="6"/>
    </row>
    <row r="45" spans="1:7" ht="12.5" x14ac:dyDescent="0.25">
      <c r="A45" s="6" t="s">
        <v>155</v>
      </c>
      <c r="B45" s="6" t="s">
        <v>156</v>
      </c>
      <c r="C45" s="6" t="s">
        <v>8</v>
      </c>
      <c r="D45" s="6" t="s">
        <v>157</v>
      </c>
      <c r="E45" s="6" t="s">
        <v>294</v>
      </c>
      <c r="F45" s="6" t="s">
        <v>158</v>
      </c>
      <c r="G45" s="6"/>
    </row>
    <row r="46" spans="1:7" ht="12.5" x14ac:dyDescent="0.25">
      <c r="A46" s="6" t="s">
        <v>159</v>
      </c>
      <c r="B46" s="6" t="s">
        <v>160</v>
      </c>
      <c r="C46" s="6" t="s">
        <v>8</v>
      </c>
      <c r="D46" s="6" t="s">
        <v>161</v>
      </c>
      <c r="E46" s="6" t="s">
        <v>295</v>
      </c>
      <c r="F46" s="6" t="s">
        <v>162</v>
      </c>
      <c r="G46" s="6"/>
    </row>
    <row r="47" spans="1:7" ht="12.5" x14ac:dyDescent="0.25">
      <c r="A47" s="6" t="s">
        <v>163</v>
      </c>
      <c r="B47" s="7" t="s">
        <v>164</v>
      </c>
      <c r="C47" s="6" t="s">
        <v>8</v>
      </c>
      <c r="D47" s="6" t="s">
        <v>165</v>
      </c>
      <c r="E47" s="6" t="s">
        <v>296</v>
      </c>
      <c r="F47" s="6" t="s">
        <v>162</v>
      </c>
      <c r="G47" s="6"/>
    </row>
    <row r="48" spans="1:7" ht="12.5" x14ac:dyDescent="0.25">
      <c r="A48" s="6" t="s">
        <v>166</v>
      </c>
      <c r="B48" s="6" t="s">
        <v>167</v>
      </c>
      <c r="C48" s="6" t="s">
        <v>8</v>
      </c>
      <c r="D48" s="6" t="s">
        <v>168</v>
      </c>
      <c r="E48" s="6" t="s">
        <v>297</v>
      </c>
      <c r="F48" s="6" t="s">
        <v>162</v>
      </c>
      <c r="G48" s="6"/>
    </row>
    <row r="49" spans="1:7" ht="12.5" x14ac:dyDescent="0.25">
      <c r="A49" s="6" t="s">
        <v>169</v>
      </c>
      <c r="B49" s="6" t="s">
        <v>170</v>
      </c>
      <c r="C49" s="6" t="s">
        <v>8</v>
      </c>
      <c r="D49" s="6" t="s">
        <v>171</v>
      </c>
      <c r="E49" s="6" t="s">
        <v>298</v>
      </c>
      <c r="F49" s="6" t="s">
        <v>162</v>
      </c>
      <c r="G49" s="6"/>
    </row>
    <row r="50" spans="1:7" ht="12.5" x14ac:dyDescent="0.25">
      <c r="A50" s="6" t="s">
        <v>172</v>
      </c>
      <c r="B50" s="6" t="s">
        <v>173</v>
      </c>
      <c r="C50" s="6" t="s">
        <v>8</v>
      </c>
      <c r="D50" s="6" t="s">
        <v>174</v>
      </c>
      <c r="E50" s="6" t="s">
        <v>299</v>
      </c>
      <c r="F50" s="6" t="s">
        <v>175</v>
      </c>
      <c r="G50" s="6"/>
    </row>
    <row r="51" spans="1:7" ht="12.5" x14ac:dyDescent="0.25">
      <c r="A51" s="6" t="s">
        <v>176</v>
      </c>
      <c r="B51" s="6" t="s">
        <v>177</v>
      </c>
      <c r="C51" s="6" t="s">
        <v>8</v>
      </c>
      <c r="D51" s="6" t="s">
        <v>178</v>
      </c>
      <c r="E51" s="6" t="s">
        <v>300</v>
      </c>
      <c r="F51" s="6" t="s">
        <v>179</v>
      </c>
      <c r="G51" s="6"/>
    </row>
    <row r="52" spans="1:7" ht="12.5" x14ac:dyDescent="0.25">
      <c r="A52" s="6" t="s">
        <v>180</v>
      </c>
      <c r="B52" s="6" t="s">
        <v>181</v>
      </c>
      <c r="C52" s="6" t="s">
        <v>8</v>
      </c>
      <c r="D52" s="6" t="s">
        <v>182</v>
      </c>
      <c r="E52" s="6" t="s">
        <v>301</v>
      </c>
      <c r="F52" s="6" t="s">
        <v>183</v>
      </c>
      <c r="G52" s="6"/>
    </row>
    <row r="53" spans="1:7" ht="12.5" x14ac:dyDescent="0.25">
      <c r="A53" s="6" t="s">
        <v>184</v>
      </c>
      <c r="B53" s="7" t="s">
        <v>185</v>
      </c>
      <c r="C53" s="6" t="s">
        <v>8</v>
      </c>
      <c r="D53" s="6" t="s">
        <v>186</v>
      </c>
      <c r="E53" s="6" t="s">
        <v>302</v>
      </c>
      <c r="F53" s="6" t="s">
        <v>187</v>
      </c>
      <c r="G53" s="6"/>
    </row>
    <row r="54" spans="1:7" ht="12.5" x14ac:dyDescent="0.25">
      <c r="A54" s="6" t="s">
        <v>188</v>
      </c>
      <c r="B54" s="6" t="s">
        <v>189</v>
      </c>
      <c r="C54" s="6" t="s">
        <v>8</v>
      </c>
      <c r="D54" s="6" t="s">
        <v>190</v>
      </c>
      <c r="E54" s="6" t="s">
        <v>303</v>
      </c>
      <c r="F54" s="6" t="s">
        <v>191</v>
      </c>
      <c r="G54" s="6"/>
    </row>
    <row r="55" spans="1:7" ht="12.5" x14ac:dyDescent="0.25">
      <c r="A55" s="6" t="s">
        <v>192</v>
      </c>
      <c r="B55" s="6" t="s">
        <v>193</v>
      </c>
      <c r="C55" s="6" t="s">
        <v>8</v>
      </c>
      <c r="D55" s="6" t="s">
        <v>194</v>
      </c>
      <c r="E55" s="6" t="s">
        <v>304</v>
      </c>
      <c r="F55" s="6" t="s">
        <v>195</v>
      </c>
      <c r="G55" s="6"/>
    </row>
    <row r="56" spans="1:7" ht="12.5" x14ac:dyDescent="0.25">
      <c r="A56" s="6" t="s">
        <v>196</v>
      </c>
      <c r="B56" s="6" t="s">
        <v>197</v>
      </c>
      <c r="C56" s="6" t="s">
        <v>8</v>
      </c>
      <c r="D56" s="6" t="s">
        <v>198</v>
      </c>
      <c r="E56" s="6" t="s">
        <v>305</v>
      </c>
      <c r="F56" s="6" t="s">
        <v>199</v>
      </c>
      <c r="G56" s="6"/>
    </row>
    <row r="57" spans="1:7" ht="12.5" x14ac:dyDescent="0.25">
      <c r="A57" s="6" t="s">
        <v>200</v>
      </c>
      <c r="B57" s="6" t="s">
        <v>201</v>
      </c>
      <c r="C57" s="6" t="s">
        <v>8</v>
      </c>
      <c r="D57" s="6" t="s">
        <v>202</v>
      </c>
      <c r="E57" s="6" t="s">
        <v>306</v>
      </c>
      <c r="F57" s="6" t="s">
        <v>199</v>
      </c>
      <c r="G57" s="6"/>
    </row>
    <row r="58" spans="1:7" ht="12.5" x14ac:dyDescent="0.25">
      <c r="A58" s="6" t="s">
        <v>203</v>
      </c>
      <c r="B58" s="6" t="s">
        <v>204</v>
      </c>
      <c r="C58" s="6" t="s">
        <v>8</v>
      </c>
      <c r="D58" s="6" t="s">
        <v>205</v>
      </c>
      <c r="E58" s="6" t="str">
        <f ca="1">IFERROR(__xludf.DUMMYFUNCTION("PROPER(GOOGLETRANSLATE(D58,""EN"",""ID""))"),"Keluar Dari Jaringan Distribusi")</f>
        <v>Keluar Dari Jaringan Distribusi</v>
      </c>
      <c r="F58" s="6" t="s">
        <v>206</v>
      </c>
      <c r="G58" s="6"/>
    </row>
    <row r="59" spans="1:7" ht="12.5" x14ac:dyDescent="0.25">
      <c r="A59" s="6" t="s">
        <v>207</v>
      </c>
      <c r="B59" s="6" t="s">
        <v>208</v>
      </c>
      <c r="C59" s="6" t="s">
        <v>8</v>
      </c>
      <c r="D59" s="6" t="s">
        <v>209</v>
      </c>
      <c r="E59" s="6" t="s">
        <v>307</v>
      </c>
      <c r="F59" s="6" t="s">
        <v>210</v>
      </c>
      <c r="G59" s="6"/>
    </row>
    <row r="60" spans="1:7" ht="12.5" x14ac:dyDescent="0.25">
      <c r="A60" s="6" t="s">
        <v>211</v>
      </c>
      <c r="B60" s="7" t="s">
        <v>212</v>
      </c>
      <c r="C60" s="6" t="s">
        <v>8</v>
      </c>
      <c r="D60" s="6" t="s">
        <v>213</v>
      </c>
      <c r="E60" s="6" t="s">
        <v>308</v>
      </c>
      <c r="F60" s="6" t="s">
        <v>214</v>
      </c>
      <c r="G60" s="6"/>
    </row>
    <row r="61" spans="1:7" ht="12.5" x14ac:dyDescent="0.25">
      <c r="A61" s="6" t="s">
        <v>215</v>
      </c>
      <c r="B61" s="6" t="s">
        <v>216</v>
      </c>
      <c r="C61" s="6" t="s">
        <v>8</v>
      </c>
      <c r="D61" s="6" t="s">
        <v>217</v>
      </c>
      <c r="E61" s="6" t="s">
        <v>309</v>
      </c>
      <c r="F61" s="6" t="s">
        <v>218</v>
      </c>
      <c r="G61" s="6"/>
    </row>
    <row r="62" spans="1:7" ht="12.5" x14ac:dyDescent="0.25">
      <c r="A62" s="6" t="s">
        <v>219</v>
      </c>
      <c r="B62" s="6" t="s">
        <v>220</v>
      </c>
      <c r="C62" s="6" t="s">
        <v>8</v>
      </c>
      <c r="D62" s="6" t="s">
        <v>221</v>
      </c>
      <c r="E62" s="6" t="s">
        <v>310</v>
      </c>
      <c r="F62" s="6" t="s">
        <v>222</v>
      </c>
      <c r="G62" s="6"/>
    </row>
    <row r="63" spans="1:7" ht="12.5" x14ac:dyDescent="0.25">
      <c r="A63" s="6" t="s">
        <v>223</v>
      </c>
      <c r="B63" s="6" t="s">
        <v>224</v>
      </c>
      <c r="C63" s="6" t="s">
        <v>8</v>
      </c>
      <c r="D63" s="6" t="s">
        <v>225</v>
      </c>
      <c r="E63" s="6" t="s">
        <v>311</v>
      </c>
      <c r="F63" s="6" t="s">
        <v>226</v>
      </c>
      <c r="G63" s="6"/>
    </row>
    <row r="64" spans="1:7" ht="12.5" x14ac:dyDescent="0.25">
      <c r="A64" s="6" t="s">
        <v>227</v>
      </c>
      <c r="B64" s="6" t="s">
        <v>228</v>
      </c>
      <c r="C64" s="6" t="s">
        <v>8</v>
      </c>
      <c r="D64" s="6" t="s">
        <v>229</v>
      </c>
      <c r="E64" s="6" t="s">
        <v>312</v>
      </c>
      <c r="F64" s="6" t="s">
        <v>230</v>
      </c>
      <c r="G64" s="6"/>
    </row>
    <row r="65" spans="1:7" ht="12.5" x14ac:dyDescent="0.25">
      <c r="A65" s="6" t="s">
        <v>231</v>
      </c>
      <c r="B65" s="6" t="s">
        <v>232</v>
      </c>
      <c r="C65" s="6" t="s">
        <v>8</v>
      </c>
      <c r="D65" s="6" t="s">
        <v>233</v>
      </c>
      <c r="E65" s="6" t="s">
        <v>313</v>
      </c>
      <c r="F65" s="6" t="s">
        <v>234</v>
      </c>
      <c r="G65" s="6"/>
    </row>
    <row r="66" spans="1:7" ht="12.5" x14ac:dyDescent="0.25">
      <c r="A66" s="6" t="s">
        <v>235</v>
      </c>
      <c r="B66" s="6" t="s">
        <v>236</v>
      </c>
      <c r="C66" s="6" t="s">
        <v>8</v>
      </c>
      <c r="D66" s="6" t="s">
        <v>237</v>
      </c>
      <c r="E66" s="6" t="s">
        <v>314</v>
      </c>
      <c r="F66" s="6" t="s">
        <v>238</v>
      </c>
      <c r="G66" s="6"/>
    </row>
    <row r="67" spans="1:7" ht="12.5" x14ac:dyDescent="0.25">
      <c r="A67" s="6" t="s">
        <v>239</v>
      </c>
      <c r="B67" s="6" t="s">
        <v>240</v>
      </c>
      <c r="C67" s="6" t="s">
        <v>8</v>
      </c>
      <c r="D67" s="6" t="s">
        <v>241</v>
      </c>
      <c r="E67" s="6" t="s">
        <v>315</v>
      </c>
      <c r="F67" s="6" t="s">
        <v>242</v>
      </c>
      <c r="G67" s="6"/>
    </row>
    <row r="68" spans="1:7" ht="12.5" x14ac:dyDescent="0.25">
      <c r="A68" s="6" t="s">
        <v>243</v>
      </c>
      <c r="B68" s="6" t="s">
        <v>244</v>
      </c>
      <c r="C68" s="6" t="s">
        <v>8</v>
      </c>
      <c r="D68" s="6" t="s">
        <v>245</v>
      </c>
      <c r="E68" s="6" t="s">
        <v>316</v>
      </c>
      <c r="F68" s="6" t="s">
        <v>246</v>
      </c>
      <c r="G68" s="6"/>
    </row>
    <row r="69" spans="1:7" ht="12.5" x14ac:dyDescent="0.25">
      <c r="A69" s="6" t="s">
        <v>247</v>
      </c>
      <c r="B69" s="6" t="s">
        <v>248</v>
      </c>
      <c r="C69" s="6" t="s">
        <v>8</v>
      </c>
      <c r="D69" s="6" t="s">
        <v>249</v>
      </c>
      <c r="E69" s="6" t="s">
        <v>317</v>
      </c>
      <c r="F69" s="6" t="s">
        <v>250</v>
      </c>
      <c r="G69" s="6"/>
    </row>
    <row r="70" spans="1:7" ht="12.5" x14ac:dyDescent="0.25">
      <c r="A70" s="6" t="s">
        <v>251</v>
      </c>
      <c r="B70" s="6" t="s">
        <v>252</v>
      </c>
      <c r="C70" s="6" t="s">
        <v>8</v>
      </c>
      <c r="D70" s="6" t="s">
        <v>253</v>
      </c>
      <c r="E70" s="6" t="s">
        <v>318</v>
      </c>
      <c r="F70" s="6" t="s">
        <v>254</v>
      </c>
      <c r="G70" s="6"/>
    </row>
    <row r="71" spans="1:7" ht="12.5" x14ac:dyDescent="0.25">
      <c r="A71" s="6" t="s">
        <v>255</v>
      </c>
      <c r="B71" s="6" t="s">
        <v>256</v>
      </c>
      <c r="C71" s="6" t="s">
        <v>8</v>
      </c>
      <c r="D71" s="6" t="s">
        <v>257</v>
      </c>
      <c r="E71" s="6" t="s">
        <v>319</v>
      </c>
      <c r="F71" s="6" t="s">
        <v>258</v>
      </c>
      <c r="G71" s="6"/>
    </row>
    <row r="72" spans="1:7" ht="12.5" x14ac:dyDescent="0.25">
      <c r="A72" s="6" t="s">
        <v>263</v>
      </c>
      <c r="B72" s="6" t="s">
        <v>264</v>
      </c>
      <c r="C72" s="6" t="s">
        <v>8</v>
      </c>
      <c r="D72" s="6" t="s">
        <v>265</v>
      </c>
      <c r="E72" s="6" t="s">
        <v>320</v>
      </c>
      <c r="F72" s="6" t="s">
        <v>266</v>
      </c>
      <c r="G72" s="6"/>
    </row>
    <row r="73" spans="1:7" ht="12.5" x14ac:dyDescent="0.25">
      <c r="A73" s="6" t="s">
        <v>267</v>
      </c>
      <c r="B73" s="6" t="s">
        <v>268</v>
      </c>
      <c r="C73" s="6" t="s">
        <v>8</v>
      </c>
      <c r="D73" s="6" t="s">
        <v>269</v>
      </c>
      <c r="E73" s="6" t="str">
        <f ca="1">IFERROR(__xludf.DUMMYFUNCTION("PROPER(GOOGLETRANSLATE(D73,""EN"",""ID""))"),"Silakan Tulis Parameter Perangkat")</f>
        <v>Silakan Tulis Parameter Perangkat</v>
      </c>
      <c r="F73" s="6" t="s">
        <v>270</v>
      </c>
      <c r="G73" s="6"/>
    </row>
    <row r="74" spans="1:7" ht="25" x14ac:dyDescent="0.25">
      <c r="A74" s="6" t="s">
        <v>281</v>
      </c>
      <c r="B74" s="6" t="s">
        <v>282</v>
      </c>
      <c r="C74" s="6" t="s">
        <v>17</v>
      </c>
      <c r="D74" s="6" t="s">
        <v>283</v>
      </c>
      <c r="E74" s="6" t="str">
        <f ca="1">IFERROR(__xludf.DUMMYFUNCTION("PROPER(GOOGLETRANSLATE(D74,""EN"",""ID""))"),"Dan")</f>
        <v>Dan</v>
      </c>
      <c r="F74" s="6"/>
      <c r="G74" s="8" t="s">
        <v>284</v>
      </c>
    </row>
    <row r="75" spans="1:7" ht="25" x14ac:dyDescent="0.25">
      <c r="A75" s="6" t="s">
        <v>281</v>
      </c>
      <c r="B75" s="7" t="s">
        <v>285</v>
      </c>
      <c r="C75" s="6" t="s">
        <v>17</v>
      </c>
      <c r="D75" s="6" t="s">
        <v>286</v>
      </c>
      <c r="E75" s="6" t="s">
        <v>321</v>
      </c>
      <c r="F75" s="6"/>
      <c r="G75" s="8" t="s">
        <v>284</v>
      </c>
    </row>
    <row r="76" spans="1:7" ht="12.5" x14ac:dyDescent="0.25">
      <c r="A76" s="9" t="s">
        <v>107</v>
      </c>
      <c r="B76" s="6" t="s">
        <v>322</v>
      </c>
      <c r="C76" s="10" t="s">
        <v>8</v>
      </c>
      <c r="D76" s="10" t="s">
        <v>323</v>
      </c>
      <c r="E76" s="10" t="s">
        <v>324</v>
      </c>
      <c r="F76" s="10"/>
      <c r="G76" s="11" t="s">
        <v>325</v>
      </c>
    </row>
    <row r="77" spans="1:7" ht="12.5" x14ac:dyDescent="0.25">
      <c r="A77" s="9" t="s">
        <v>107</v>
      </c>
      <c r="B77" s="7" t="s">
        <v>326</v>
      </c>
      <c r="C77" s="10" t="s">
        <v>8</v>
      </c>
      <c r="D77" s="10" t="s">
        <v>327</v>
      </c>
      <c r="E77" s="10" t="s">
        <v>328</v>
      </c>
      <c r="F77" s="10"/>
      <c r="G77" s="11" t="s">
        <v>325</v>
      </c>
    </row>
    <row r="78" spans="1:7" ht="12.5" x14ac:dyDescent="0.25">
      <c r="A78" s="9" t="s">
        <v>107</v>
      </c>
      <c r="B78" s="7" t="s">
        <v>329</v>
      </c>
      <c r="C78" s="10" t="s">
        <v>8</v>
      </c>
      <c r="D78" s="10" t="s">
        <v>330</v>
      </c>
      <c r="E78" s="10" t="s">
        <v>331</v>
      </c>
      <c r="F78" s="10" t="s">
        <v>332</v>
      </c>
      <c r="G78" s="11" t="s">
        <v>325</v>
      </c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Recap to 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Yongliang Li</cp:lastModifiedBy>
  <dcterms:created xsi:type="dcterms:W3CDTF">2025-02-19T06:29:43Z</dcterms:created>
  <dcterms:modified xsi:type="dcterms:W3CDTF">2025-11-13T08:25:37Z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D4463096238A445794B19C6FB28FF545_13</vt:lpwstr>
  </property>
  <property fmtid="{D5CDD505-2E9C-101B-9397-08002B2CF9AE}" pid="3" name="KSOProductBuildVer">
    <vt:lpwstr>2057-12.2.0.19821</vt:lpwstr>
  </property>
</Properties>
</file>